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trlProps/ctrlProp8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trlProps/ctrlProp9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trlProps/ctrlProp10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trlProps/ctrlProp11.xml" ContentType="application/vnd.ms-excel.controlproperti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trlProps/ctrlProp12.xml" ContentType="application/vnd.ms-excel.controlproperti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Mick/Desktop/"/>
    </mc:Choice>
  </mc:AlternateContent>
  <xr:revisionPtr revIDLastSave="0" documentId="8_{01825A31-23D8-0B4E-9AC4-4EDA029E96CC}" xr6:coauthVersionLast="47" xr6:coauthVersionMax="47" xr10:uidLastSave="{00000000-0000-0000-0000-000000000000}"/>
  <bookViews>
    <workbookView xWindow="20" yWindow="500" windowWidth="25440" windowHeight="14300" xr2:uid="{1CA6888F-910C-B64A-99D0-A42480BB3E60}"/>
  </bookViews>
  <sheets>
    <sheet name="Welcome!" sheetId="1" r:id="rId1"/>
    <sheet name="January" sheetId="5" r:id="rId2"/>
    <sheet name="February" sheetId="8" r:id="rId3"/>
    <sheet name="March" sheetId="9" r:id="rId4"/>
    <sheet name="April" sheetId="10" r:id="rId5"/>
    <sheet name="May" sheetId="11" r:id="rId6"/>
    <sheet name="June" sheetId="12" r:id="rId7"/>
    <sheet name="July" sheetId="13" r:id="rId8"/>
    <sheet name="August" sheetId="14" r:id="rId9"/>
    <sheet name="September" sheetId="15" r:id="rId10"/>
    <sheet name="October" sheetId="16" r:id="rId11"/>
    <sheet name="November" sheetId="17" r:id="rId12"/>
    <sheet name="December" sheetId="18" r:id="rId13"/>
    <sheet name="Yearly Summary" sheetId="19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4" i="18" l="1"/>
  <c r="L13" i="18"/>
  <c r="L12" i="18"/>
  <c r="L11" i="18"/>
  <c r="L10" i="18"/>
  <c r="L9" i="18"/>
  <c r="L8" i="18"/>
  <c r="L5" i="18"/>
  <c r="K5" i="18"/>
  <c r="L14" i="17"/>
  <c r="L13" i="17"/>
  <c r="L12" i="17"/>
  <c r="L11" i="17"/>
  <c r="L10" i="17"/>
  <c r="L9" i="17"/>
  <c r="L8" i="17"/>
  <c r="L5" i="17"/>
  <c r="K5" i="17"/>
  <c r="L14" i="16"/>
  <c r="L13" i="16"/>
  <c r="L12" i="16"/>
  <c r="L11" i="16"/>
  <c r="L10" i="16"/>
  <c r="L9" i="16"/>
  <c r="L8" i="16"/>
  <c r="L5" i="16"/>
  <c r="K5" i="16"/>
  <c r="L14" i="15"/>
  <c r="L13" i="15"/>
  <c r="L12" i="15"/>
  <c r="L11" i="15"/>
  <c r="L10" i="15"/>
  <c r="L9" i="15"/>
  <c r="L8" i="15"/>
  <c r="L5" i="15"/>
  <c r="K5" i="15"/>
  <c r="L14" i="14"/>
  <c r="L13" i="14"/>
  <c r="L12" i="14"/>
  <c r="L11" i="14"/>
  <c r="L10" i="14"/>
  <c r="L9" i="14"/>
  <c r="L8" i="14"/>
  <c r="L5" i="14"/>
  <c r="K5" i="14"/>
  <c r="L14" i="13"/>
  <c r="L13" i="13"/>
  <c r="L12" i="13"/>
  <c r="L11" i="13"/>
  <c r="L10" i="13"/>
  <c r="L9" i="13"/>
  <c r="L8" i="13"/>
  <c r="L5" i="13"/>
  <c r="K5" i="13"/>
  <c r="L14" i="12"/>
  <c r="L13" i="12"/>
  <c r="L12" i="12"/>
  <c r="L11" i="12"/>
  <c r="L10" i="12"/>
  <c r="L9" i="12"/>
  <c r="L8" i="12"/>
  <c r="L5" i="12"/>
  <c r="K5" i="12"/>
  <c r="L14" i="11"/>
  <c r="L13" i="11"/>
  <c r="L12" i="11"/>
  <c r="L11" i="11"/>
  <c r="L10" i="11"/>
  <c r="L9" i="11"/>
  <c r="L8" i="11"/>
  <c r="L5" i="11"/>
  <c r="K5" i="11"/>
  <c r="L14" i="10"/>
  <c r="L13" i="10"/>
  <c r="L12" i="10"/>
  <c r="L11" i="10"/>
  <c r="L10" i="10"/>
  <c r="L9" i="10"/>
  <c r="L8" i="10"/>
  <c r="L5" i="10"/>
  <c r="K5" i="10"/>
  <c r="L14" i="9"/>
  <c r="L13" i="9"/>
  <c r="L12" i="9"/>
  <c r="L11" i="9"/>
  <c r="L10" i="9"/>
  <c r="L9" i="9"/>
  <c r="L8" i="9"/>
  <c r="L5" i="9"/>
  <c r="K5" i="9"/>
  <c r="L14" i="8"/>
  <c r="L13" i="8"/>
  <c r="L12" i="8"/>
  <c r="L11" i="8"/>
  <c r="L10" i="8"/>
  <c r="L9" i="8"/>
  <c r="L8" i="8"/>
  <c r="L5" i="8"/>
  <c r="K5" i="8"/>
  <c r="K5" i="5"/>
  <c r="B4" i="19" s="1"/>
  <c r="L11" i="5"/>
  <c r="C10" i="19" s="1"/>
  <c r="L8" i="5"/>
  <c r="C7" i="19" s="1"/>
  <c r="L9" i="5"/>
  <c r="C8" i="19" s="1"/>
  <c r="L10" i="5"/>
  <c r="C9" i="19" s="1"/>
  <c r="L12" i="5"/>
  <c r="C11" i="19" s="1"/>
  <c r="L13" i="5"/>
  <c r="C12" i="19" s="1"/>
  <c r="L14" i="5"/>
  <c r="C13" i="19" s="1"/>
  <c r="L5" i="5"/>
  <c r="C4" i="19" s="1"/>
</calcChain>
</file>

<file path=xl/sharedStrings.xml><?xml version="1.0" encoding="utf-8"?>
<sst xmlns="http://schemas.openxmlformats.org/spreadsheetml/2006/main" count="412" uniqueCount="31">
  <si>
    <t>This workbook contains monthly budget sheets, as well as a yearly summary.</t>
  </si>
  <si>
    <t>Expenses</t>
  </si>
  <si>
    <t>Housing</t>
  </si>
  <si>
    <t>Income</t>
  </si>
  <si>
    <t>Transportation</t>
  </si>
  <si>
    <t>Category</t>
  </si>
  <si>
    <t>Item</t>
  </si>
  <si>
    <t>Groceries</t>
  </si>
  <si>
    <t>Date</t>
  </si>
  <si>
    <t>Categories</t>
  </si>
  <si>
    <t>Savings</t>
  </si>
  <si>
    <t>Investing</t>
  </si>
  <si>
    <t>Miscellaneous</t>
  </si>
  <si>
    <t>Cost</t>
  </si>
  <si>
    <t>Personal Spending</t>
  </si>
  <si>
    <t>Food</t>
  </si>
  <si>
    <t>Select your spending category by clicking the blue box and then the arrow to the right</t>
  </si>
  <si>
    <t>Example</t>
  </si>
  <si>
    <t>Source</t>
  </si>
  <si>
    <t>Amount</t>
  </si>
  <si>
    <t>Manually input income source and amount</t>
  </si>
  <si>
    <t>Total Expense</t>
  </si>
  <si>
    <t>Total Monthly Expense</t>
  </si>
  <si>
    <t>Category Expense</t>
  </si>
  <si>
    <t>Total Monthly Income</t>
  </si>
  <si>
    <t>The expenses are organized using Excel VBA, so the macros will need to be allowed when opening the sheet.</t>
  </si>
  <si>
    <t>For questions or issues, contact Mick B. Christensen at mickbc97@gmail.com.</t>
  </si>
  <si>
    <t>Yearly Summary</t>
  </si>
  <si>
    <t>Total Income</t>
  </si>
  <si>
    <t>Yearly Category Expense</t>
  </si>
  <si>
    <t>Budget Worksheet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</si>
</sst>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"/>
  </numFmts>
  <fonts count="9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i/>
      <sz val="14"/>
      <color theme="1"/>
      <name val="Arial"/>
      <family val="2"/>
    </font>
    <font>
      <i/>
      <sz val="14"/>
      <color theme="1"/>
      <name val="Arial"/>
      <family val="2"/>
    </font>
    <font>
      <b/>
      <sz val="12"/>
      <color theme="1"/>
      <name val="Arial"/>
      <family val="2"/>
    </font>
    <font>
      <sz val="14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/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2" borderId="0" xfId="0" applyFont="1" applyFill="1"/>
    <xf numFmtId="0" fontId="3" fillId="2" borderId="1" xfId="0" applyFont="1" applyFill="1" applyBorder="1"/>
    <xf numFmtId="0" fontId="2" fillId="2" borderId="2" xfId="0" applyFont="1" applyFill="1" applyBorder="1"/>
    <xf numFmtId="0" fontId="3" fillId="2" borderId="3" xfId="0" applyFont="1" applyFill="1" applyBorder="1"/>
    <xf numFmtId="0" fontId="4" fillId="2" borderId="0" xfId="0" applyFont="1" applyFill="1"/>
    <xf numFmtId="0" fontId="3" fillId="2" borderId="0" xfId="0" applyFont="1" applyFill="1"/>
    <xf numFmtId="0" fontId="4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64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6" fillId="3" borderId="0" xfId="0" applyFont="1" applyFill="1" applyAlignment="1">
      <alignment horizontal="center" vertical="center" wrapText="1"/>
    </xf>
    <xf numFmtId="164" fontId="6" fillId="3" borderId="0" xfId="0" applyNumberFormat="1" applyFont="1" applyFill="1" applyAlignment="1">
      <alignment horizontal="center" vertical="center" wrapText="1"/>
    </xf>
    <xf numFmtId="14" fontId="6" fillId="3" borderId="0" xfId="0" applyNumberFormat="1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164" fontId="3" fillId="2" borderId="0" xfId="0" applyNumberFormat="1" applyFont="1" applyFill="1" applyAlignment="1">
      <alignment horizontal="center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3" fillId="2" borderId="0" xfId="0" applyFont="1" applyFill="1" applyAlignment="1">
      <alignment horizontal="left" vertical="center"/>
    </xf>
    <xf numFmtId="0" fontId="2" fillId="4" borderId="0" xfId="0" applyFont="1" applyFill="1"/>
    <xf numFmtId="0" fontId="3" fillId="4" borderId="0" xfId="0" applyFont="1" applyFill="1"/>
    <xf numFmtId="0" fontId="7" fillId="4" borderId="0" xfId="0" applyFont="1" applyFill="1"/>
    <xf numFmtId="0" fontId="4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Percentage</a:t>
            </a:r>
            <a:r>
              <a:rPr lang="en-GB" baseline="0"/>
              <a:t> of Total Monthly Expense by Category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51-C743-A0C7-C23EE5C448B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51-C743-A0C7-C23EE5C448B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51-C743-A0C7-C23EE5C448B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51-C743-A0C7-C23EE5C448B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F51-C743-A0C7-C23EE5C448B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F51-C743-A0C7-C23EE5C448B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F51-C743-A0C7-C23EE5C448B9}"/>
              </c:ext>
            </c:extLst>
          </c:dPt>
          <c:cat>
            <c:strRef>
              <c:f>January!$K$8:$K$14</c:f>
              <c:strCache>
                <c:ptCount val="7"/>
                <c:pt idx="0">
                  <c:v>Groceries</c:v>
                </c:pt>
                <c:pt idx="1">
                  <c:v>Personal Spending</c:v>
                </c:pt>
                <c:pt idx="2">
                  <c:v>Housing</c:v>
                </c:pt>
                <c:pt idx="3">
                  <c:v>Transportation</c:v>
                </c:pt>
                <c:pt idx="4">
                  <c:v>Savings</c:v>
                </c:pt>
                <c:pt idx="5">
                  <c:v>Investing</c:v>
                </c:pt>
                <c:pt idx="6">
                  <c:v>Miscellaneous</c:v>
                </c:pt>
              </c:strCache>
            </c:strRef>
          </c:cat>
          <c:val>
            <c:numRef>
              <c:f>January!$L$8:$L$14</c:f>
              <c:numCache>
                <c:formatCode>[$$-409]#,##0.00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9D-AC4F-A4C1-636170777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Monthly Income and</a:t>
            </a:r>
            <a:r>
              <a:rPr lang="en-GB" baseline="0"/>
              <a:t> Expense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January!$K$4:$L$4</c:f>
              <c:strCache>
                <c:ptCount val="2"/>
                <c:pt idx="0">
                  <c:v>Total Monthly Income</c:v>
                </c:pt>
                <c:pt idx="1">
                  <c:v>Total Monthly Expense</c:v>
                </c:pt>
              </c:strCache>
            </c:strRef>
          </c:cat>
          <c:val>
            <c:numRef>
              <c:f>January!$K$5:$L$5</c:f>
              <c:numCache>
                <c:formatCode>[$$-409]#,##0.00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FC-4F4D-8195-BCE0C2679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47183"/>
        <c:axId val="741620031"/>
      </c:barChart>
      <c:catAx>
        <c:axId val="79834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41620031"/>
        <c:crosses val="autoZero"/>
        <c:auto val="1"/>
        <c:lblAlgn val="ctr"/>
        <c:lblOffset val="100"/>
        <c:noMultiLvlLbl val="0"/>
      </c:catAx>
      <c:valAx>
        <c:axId val="74162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98347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Percentage</a:t>
            </a:r>
            <a:r>
              <a:rPr lang="en-GB" baseline="0"/>
              <a:t> of Total Monthly Expense by Category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166-7941-9530-F7145CB302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166-7941-9530-F7145CB3023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166-7941-9530-F7145CB3023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166-7941-9530-F7145CB3023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166-7941-9530-F7145CB3023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166-7941-9530-F7145CB3023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166-7941-9530-F7145CB3023A}"/>
              </c:ext>
            </c:extLst>
          </c:dPt>
          <c:cat>
            <c:strRef>
              <c:f>February!$K$8:$K$14</c:f>
              <c:strCache>
                <c:ptCount val="7"/>
                <c:pt idx="0">
                  <c:v>Groceries</c:v>
                </c:pt>
                <c:pt idx="1">
                  <c:v>Personal Spending</c:v>
                </c:pt>
                <c:pt idx="2">
                  <c:v>Housing</c:v>
                </c:pt>
                <c:pt idx="3">
                  <c:v>Transportation</c:v>
                </c:pt>
                <c:pt idx="4">
                  <c:v>Savings</c:v>
                </c:pt>
                <c:pt idx="5">
                  <c:v>Investing</c:v>
                </c:pt>
                <c:pt idx="6">
                  <c:v>Miscellaneous</c:v>
                </c:pt>
              </c:strCache>
            </c:strRef>
          </c:cat>
          <c:val>
            <c:numRef>
              <c:f>February!$L$8:$L$14</c:f>
              <c:numCache>
                <c:formatCode>[$$-409]#,##0.00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166-7941-9530-F7145CB30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Monthly Income and</a:t>
            </a:r>
            <a:r>
              <a:rPr lang="en-GB" baseline="0"/>
              <a:t> Expense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February!$K$4:$L$4</c:f>
              <c:strCache>
                <c:ptCount val="2"/>
                <c:pt idx="0">
                  <c:v>Total Monthly Income</c:v>
                </c:pt>
                <c:pt idx="1">
                  <c:v>Total Monthly Expense</c:v>
                </c:pt>
              </c:strCache>
            </c:strRef>
          </c:cat>
          <c:val>
            <c:numRef>
              <c:f>February!$K$5:$L$5</c:f>
              <c:numCache>
                <c:formatCode>[$$-409]#,##0.00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E-8749-BD43-882FEC87D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47183"/>
        <c:axId val="741620031"/>
      </c:barChart>
      <c:catAx>
        <c:axId val="79834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41620031"/>
        <c:crosses val="autoZero"/>
        <c:auto val="1"/>
        <c:lblAlgn val="ctr"/>
        <c:lblOffset val="100"/>
        <c:noMultiLvlLbl val="0"/>
      </c:catAx>
      <c:valAx>
        <c:axId val="74162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98347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Percentage</a:t>
            </a:r>
            <a:r>
              <a:rPr lang="en-GB" baseline="0"/>
              <a:t> of Total Monthly Expense by Category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C3-CE4C-A2F0-6A2B8E569C6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C3-CE4C-A2F0-6A2B8E569C6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FC3-CE4C-A2F0-6A2B8E569C6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FC3-CE4C-A2F0-6A2B8E569C6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FC3-CE4C-A2F0-6A2B8E569C6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FC3-CE4C-A2F0-6A2B8E569C6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FC3-CE4C-A2F0-6A2B8E569C61}"/>
              </c:ext>
            </c:extLst>
          </c:dPt>
          <c:cat>
            <c:strRef>
              <c:f>March!$K$8:$K$14</c:f>
              <c:strCache>
                <c:ptCount val="7"/>
                <c:pt idx="0">
                  <c:v>Groceries</c:v>
                </c:pt>
                <c:pt idx="1">
                  <c:v>Personal Spending</c:v>
                </c:pt>
                <c:pt idx="2">
                  <c:v>Housing</c:v>
                </c:pt>
                <c:pt idx="3">
                  <c:v>Transportation</c:v>
                </c:pt>
                <c:pt idx="4">
                  <c:v>Savings</c:v>
                </c:pt>
                <c:pt idx="5">
                  <c:v>Investing</c:v>
                </c:pt>
                <c:pt idx="6">
                  <c:v>Miscellaneous</c:v>
                </c:pt>
              </c:strCache>
            </c:strRef>
          </c:cat>
          <c:val>
            <c:numRef>
              <c:f>March!$L$8:$L$14</c:f>
              <c:numCache>
                <c:formatCode>[$$-409]#,##0.00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FC3-CE4C-A2F0-6A2B8E569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Monthly Income and</a:t>
            </a:r>
            <a:r>
              <a:rPr lang="en-GB" baseline="0"/>
              <a:t> Expense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March!$K$4:$L$4</c:f>
              <c:strCache>
                <c:ptCount val="2"/>
                <c:pt idx="0">
                  <c:v>Total Monthly Income</c:v>
                </c:pt>
                <c:pt idx="1">
                  <c:v>Total Monthly Expense</c:v>
                </c:pt>
              </c:strCache>
            </c:strRef>
          </c:cat>
          <c:val>
            <c:numRef>
              <c:f>March!$K$5:$L$5</c:f>
              <c:numCache>
                <c:formatCode>[$$-409]#,##0.00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F-5541-A78B-CDA369D54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47183"/>
        <c:axId val="741620031"/>
      </c:barChart>
      <c:catAx>
        <c:axId val="79834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41620031"/>
        <c:crosses val="autoZero"/>
        <c:auto val="1"/>
        <c:lblAlgn val="ctr"/>
        <c:lblOffset val="100"/>
        <c:noMultiLvlLbl val="0"/>
      </c:catAx>
      <c:valAx>
        <c:axId val="74162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98347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Percentage</a:t>
            </a:r>
            <a:r>
              <a:rPr lang="en-GB" baseline="0"/>
              <a:t> of Total Monthly Expense by Category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29F-0F43-96E3-CBD82DFC883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29F-0F43-96E3-CBD82DFC883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29F-0F43-96E3-CBD82DFC883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29F-0F43-96E3-CBD82DFC883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29F-0F43-96E3-CBD82DFC883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29F-0F43-96E3-CBD82DFC883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29F-0F43-96E3-CBD82DFC8838}"/>
              </c:ext>
            </c:extLst>
          </c:dPt>
          <c:cat>
            <c:strRef>
              <c:f>April!$K$8:$K$14</c:f>
              <c:strCache>
                <c:ptCount val="7"/>
                <c:pt idx="0">
                  <c:v>Groceries</c:v>
                </c:pt>
                <c:pt idx="1">
                  <c:v>Personal Spending</c:v>
                </c:pt>
                <c:pt idx="2">
                  <c:v>Housing</c:v>
                </c:pt>
                <c:pt idx="3">
                  <c:v>Transportation</c:v>
                </c:pt>
                <c:pt idx="4">
                  <c:v>Savings</c:v>
                </c:pt>
                <c:pt idx="5">
                  <c:v>Investing</c:v>
                </c:pt>
                <c:pt idx="6">
                  <c:v>Miscellaneous</c:v>
                </c:pt>
              </c:strCache>
            </c:strRef>
          </c:cat>
          <c:val>
            <c:numRef>
              <c:f>April!$L$8:$L$14</c:f>
              <c:numCache>
                <c:formatCode>[$$-409]#,##0.00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29F-0F43-96E3-CBD82DFC8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Monthly Income and</a:t>
            </a:r>
            <a:r>
              <a:rPr lang="en-GB" baseline="0"/>
              <a:t> Expense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April!$K$4:$L$4</c:f>
              <c:strCache>
                <c:ptCount val="2"/>
                <c:pt idx="0">
                  <c:v>Total Monthly Income</c:v>
                </c:pt>
                <c:pt idx="1">
                  <c:v>Total Monthly Expense</c:v>
                </c:pt>
              </c:strCache>
            </c:strRef>
          </c:cat>
          <c:val>
            <c:numRef>
              <c:f>April!$K$5:$L$5</c:f>
              <c:numCache>
                <c:formatCode>[$$-409]#,##0.00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F6-7243-9CB9-8557E3F70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47183"/>
        <c:axId val="741620031"/>
      </c:barChart>
      <c:catAx>
        <c:axId val="79834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41620031"/>
        <c:crosses val="autoZero"/>
        <c:auto val="1"/>
        <c:lblAlgn val="ctr"/>
        <c:lblOffset val="100"/>
        <c:noMultiLvlLbl val="0"/>
      </c:catAx>
      <c:valAx>
        <c:axId val="74162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98347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Percentage</a:t>
            </a:r>
            <a:r>
              <a:rPr lang="en-GB" baseline="0"/>
              <a:t> of Total Monthly Expense by Category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0F0-D548-A118-A6FBE747F5B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0F0-D548-A118-A6FBE747F5B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0F0-D548-A118-A6FBE747F5B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0F0-D548-A118-A6FBE747F5B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0F0-D548-A118-A6FBE747F5B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0F0-D548-A118-A6FBE747F5B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0F0-D548-A118-A6FBE747F5B4}"/>
              </c:ext>
            </c:extLst>
          </c:dPt>
          <c:cat>
            <c:strRef>
              <c:f>May!$K$8:$K$14</c:f>
              <c:strCache>
                <c:ptCount val="7"/>
                <c:pt idx="0">
                  <c:v>Groceries</c:v>
                </c:pt>
                <c:pt idx="1">
                  <c:v>Personal Spending</c:v>
                </c:pt>
                <c:pt idx="2">
                  <c:v>Housing</c:v>
                </c:pt>
                <c:pt idx="3">
                  <c:v>Transportation</c:v>
                </c:pt>
                <c:pt idx="4">
                  <c:v>Savings</c:v>
                </c:pt>
                <c:pt idx="5">
                  <c:v>Investing</c:v>
                </c:pt>
                <c:pt idx="6">
                  <c:v>Miscellaneous</c:v>
                </c:pt>
              </c:strCache>
            </c:strRef>
          </c:cat>
          <c:val>
            <c:numRef>
              <c:f>May!$L$8:$L$14</c:f>
              <c:numCache>
                <c:formatCode>[$$-409]#,##0.00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0-D548-A118-A6FBE747F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Monthly Income and</a:t>
            </a:r>
            <a:r>
              <a:rPr lang="en-GB" baseline="0"/>
              <a:t> Expense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May!$K$4:$L$4</c:f>
              <c:strCache>
                <c:ptCount val="2"/>
                <c:pt idx="0">
                  <c:v>Total Monthly Income</c:v>
                </c:pt>
                <c:pt idx="1">
                  <c:v>Total Monthly Expense</c:v>
                </c:pt>
              </c:strCache>
            </c:strRef>
          </c:cat>
          <c:val>
            <c:numRef>
              <c:f>May!$K$5:$L$5</c:f>
              <c:numCache>
                <c:formatCode>[$$-409]#,##0.00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D-B842-A5FD-458BBD6A4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47183"/>
        <c:axId val="741620031"/>
      </c:barChart>
      <c:catAx>
        <c:axId val="79834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41620031"/>
        <c:crosses val="autoZero"/>
        <c:auto val="1"/>
        <c:lblAlgn val="ctr"/>
        <c:lblOffset val="100"/>
        <c:noMultiLvlLbl val="0"/>
      </c:catAx>
      <c:valAx>
        <c:axId val="74162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98347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Percentage</a:t>
            </a:r>
            <a:r>
              <a:rPr lang="en-GB" baseline="0"/>
              <a:t> of Total Monthly Expense by Category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80-EE44-81CE-F1EBE7060C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80-EE44-81CE-F1EBE7060C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80-EE44-81CE-F1EBE7060CA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A80-EE44-81CE-F1EBE7060CA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A80-EE44-81CE-F1EBE7060CA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A80-EE44-81CE-F1EBE7060CA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A80-EE44-81CE-F1EBE7060CA9}"/>
              </c:ext>
            </c:extLst>
          </c:dPt>
          <c:cat>
            <c:strRef>
              <c:f>June!$K$8:$K$14</c:f>
              <c:strCache>
                <c:ptCount val="7"/>
                <c:pt idx="0">
                  <c:v>Groceries</c:v>
                </c:pt>
                <c:pt idx="1">
                  <c:v>Personal Spending</c:v>
                </c:pt>
                <c:pt idx="2">
                  <c:v>Housing</c:v>
                </c:pt>
                <c:pt idx="3">
                  <c:v>Transportation</c:v>
                </c:pt>
                <c:pt idx="4">
                  <c:v>Savings</c:v>
                </c:pt>
                <c:pt idx="5">
                  <c:v>Investing</c:v>
                </c:pt>
                <c:pt idx="6">
                  <c:v>Miscellaneous</c:v>
                </c:pt>
              </c:strCache>
            </c:strRef>
          </c:cat>
          <c:val>
            <c:numRef>
              <c:f>June!$L$8:$L$14</c:f>
              <c:numCache>
                <c:formatCode>[$$-409]#,##0.00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A80-EE44-81CE-F1EBE7060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Monthly Income and</a:t>
            </a:r>
            <a:r>
              <a:rPr lang="en-GB" baseline="0"/>
              <a:t> Expense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June!$K$4:$L$4</c:f>
              <c:strCache>
                <c:ptCount val="2"/>
                <c:pt idx="0">
                  <c:v>Total Monthly Income</c:v>
                </c:pt>
                <c:pt idx="1">
                  <c:v>Total Monthly Expense</c:v>
                </c:pt>
              </c:strCache>
            </c:strRef>
          </c:cat>
          <c:val>
            <c:numRef>
              <c:f>June!$K$5:$L$5</c:f>
              <c:numCache>
                <c:formatCode>[$$-409]#,##0.00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AE-464E-938F-8401965D1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47183"/>
        <c:axId val="741620031"/>
      </c:barChart>
      <c:catAx>
        <c:axId val="79834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41620031"/>
        <c:crosses val="autoZero"/>
        <c:auto val="1"/>
        <c:lblAlgn val="ctr"/>
        <c:lblOffset val="100"/>
        <c:noMultiLvlLbl val="0"/>
      </c:catAx>
      <c:valAx>
        <c:axId val="74162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98347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Percentage</a:t>
            </a:r>
            <a:r>
              <a:rPr lang="en-GB" baseline="0"/>
              <a:t> of Total Monthly Expense by Category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CB4-E641-AC4A-ABFD6741287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CB4-E641-AC4A-ABFD6741287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CB4-E641-AC4A-ABFD6741287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CB4-E641-AC4A-ABFD6741287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CB4-E641-AC4A-ABFD6741287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CB4-E641-AC4A-ABFD6741287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CB4-E641-AC4A-ABFD67412870}"/>
              </c:ext>
            </c:extLst>
          </c:dPt>
          <c:cat>
            <c:strRef>
              <c:f>July!$K$8:$K$14</c:f>
              <c:strCache>
                <c:ptCount val="7"/>
                <c:pt idx="0">
                  <c:v>Groceries</c:v>
                </c:pt>
                <c:pt idx="1">
                  <c:v>Personal Spending</c:v>
                </c:pt>
                <c:pt idx="2">
                  <c:v>Housing</c:v>
                </c:pt>
                <c:pt idx="3">
                  <c:v>Transportation</c:v>
                </c:pt>
                <c:pt idx="4">
                  <c:v>Savings</c:v>
                </c:pt>
                <c:pt idx="5">
                  <c:v>Investing</c:v>
                </c:pt>
                <c:pt idx="6">
                  <c:v>Miscellaneous</c:v>
                </c:pt>
              </c:strCache>
            </c:strRef>
          </c:cat>
          <c:val>
            <c:numRef>
              <c:f>July!$L$8:$L$14</c:f>
              <c:numCache>
                <c:formatCode>[$$-409]#,##0.00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CB4-E641-AC4A-ABFD67412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Monthly Income and</a:t>
            </a:r>
            <a:r>
              <a:rPr lang="en-GB" baseline="0"/>
              <a:t> Expense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July!$K$4:$L$4</c:f>
              <c:strCache>
                <c:ptCount val="2"/>
                <c:pt idx="0">
                  <c:v>Total Monthly Income</c:v>
                </c:pt>
                <c:pt idx="1">
                  <c:v>Total Monthly Expense</c:v>
                </c:pt>
              </c:strCache>
            </c:strRef>
          </c:cat>
          <c:val>
            <c:numRef>
              <c:f>July!$K$5:$L$5</c:f>
              <c:numCache>
                <c:formatCode>[$$-409]#,##0.00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5D-7343-97F0-4B3C14FE2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47183"/>
        <c:axId val="741620031"/>
      </c:barChart>
      <c:catAx>
        <c:axId val="79834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41620031"/>
        <c:crosses val="autoZero"/>
        <c:auto val="1"/>
        <c:lblAlgn val="ctr"/>
        <c:lblOffset val="100"/>
        <c:noMultiLvlLbl val="0"/>
      </c:catAx>
      <c:valAx>
        <c:axId val="74162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98347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Percentage</a:t>
            </a:r>
            <a:r>
              <a:rPr lang="en-GB" baseline="0"/>
              <a:t> of Total Monthly Expense by Category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0C-AD48-AA4E-B0DA9C6FDD8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0C-AD48-AA4E-B0DA9C6FDD8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50C-AD48-AA4E-B0DA9C6FDD8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50C-AD48-AA4E-B0DA9C6FDD8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50C-AD48-AA4E-B0DA9C6FDD8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50C-AD48-AA4E-B0DA9C6FDD8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50C-AD48-AA4E-B0DA9C6FDD8E}"/>
              </c:ext>
            </c:extLst>
          </c:dPt>
          <c:cat>
            <c:strRef>
              <c:f>August!$K$8:$K$14</c:f>
              <c:strCache>
                <c:ptCount val="7"/>
                <c:pt idx="0">
                  <c:v>Groceries</c:v>
                </c:pt>
                <c:pt idx="1">
                  <c:v>Personal Spending</c:v>
                </c:pt>
                <c:pt idx="2">
                  <c:v>Housing</c:v>
                </c:pt>
                <c:pt idx="3">
                  <c:v>Transportation</c:v>
                </c:pt>
                <c:pt idx="4">
                  <c:v>Savings</c:v>
                </c:pt>
                <c:pt idx="5">
                  <c:v>Investing</c:v>
                </c:pt>
                <c:pt idx="6">
                  <c:v>Miscellaneous</c:v>
                </c:pt>
              </c:strCache>
            </c:strRef>
          </c:cat>
          <c:val>
            <c:numRef>
              <c:f>August!$L$8:$L$14</c:f>
              <c:numCache>
                <c:formatCode>[$$-409]#,##0.00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0C-AD48-AA4E-B0DA9C6F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Monthly Income and</a:t>
            </a:r>
            <a:r>
              <a:rPr lang="en-GB" baseline="0"/>
              <a:t> Expense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August!$K$4:$L$4</c:f>
              <c:strCache>
                <c:ptCount val="2"/>
                <c:pt idx="0">
                  <c:v>Total Monthly Income</c:v>
                </c:pt>
                <c:pt idx="1">
                  <c:v>Total Monthly Expense</c:v>
                </c:pt>
              </c:strCache>
            </c:strRef>
          </c:cat>
          <c:val>
            <c:numRef>
              <c:f>August!$K$5:$L$5</c:f>
              <c:numCache>
                <c:formatCode>[$$-409]#,##0.00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B9-6447-8EF8-EFA14127B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47183"/>
        <c:axId val="741620031"/>
      </c:barChart>
      <c:catAx>
        <c:axId val="79834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41620031"/>
        <c:crosses val="autoZero"/>
        <c:auto val="1"/>
        <c:lblAlgn val="ctr"/>
        <c:lblOffset val="100"/>
        <c:noMultiLvlLbl val="0"/>
      </c:catAx>
      <c:valAx>
        <c:axId val="74162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98347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Percentage</a:t>
            </a:r>
            <a:r>
              <a:rPr lang="en-GB" baseline="0"/>
              <a:t> of Total Monthly Expense by Category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EE-4F43-A577-875F439384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EE-4F43-A577-875F439384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EE-4F43-A577-875F4393848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4EE-4F43-A577-875F4393848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4EE-4F43-A577-875F4393848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4EE-4F43-A577-875F4393848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4EE-4F43-A577-875F43938487}"/>
              </c:ext>
            </c:extLst>
          </c:dPt>
          <c:cat>
            <c:strRef>
              <c:f>September!$K$8:$K$14</c:f>
              <c:strCache>
                <c:ptCount val="7"/>
                <c:pt idx="0">
                  <c:v>Groceries</c:v>
                </c:pt>
                <c:pt idx="1">
                  <c:v>Personal Spending</c:v>
                </c:pt>
                <c:pt idx="2">
                  <c:v>Housing</c:v>
                </c:pt>
                <c:pt idx="3">
                  <c:v>Transportation</c:v>
                </c:pt>
                <c:pt idx="4">
                  <c:v>Savings</c:v>
                </c:pt>
                <c:pt idx="5">
                  <c:v>Investing</c:v>
                </c:pt>
                <c:pt idx="6">
                  <c:v>Miscellaneous</c:v>
                </c:pt>
              </c:strCache>
            </c:strRef>
          </c:cat>
          <c:val>
            <c:numRef>
              <c:f>September!$L$8:$L$14</c:f>
              <c:numCache>
                <c:formatCode>[$$-409]#,##0.00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4EE-4F43-A577-875F43938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Monthly Income and</a:t>
            </a:r>
            <a:r>
              <a:rPr lang="en-GB" baseline="0"/>
              <a:t> Expense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September!$K$4:$L$4</c:f>
              <c:strCache>
                <c:ptCount val="2"/>
                <c:pt idx="0">
                  <c:v>Total Monthly Income</c:v>
                </c:pt>
                <c:pt idx="1">
                  <c:v>Total Monthly Expense</c:v>
                </c:pt>
              </c:strCache>
            </c:strRef>
          </c:cat>
          <c:val>
            <c:numRef>
              <c:f>September!$K$5:$L$5</c:f>
              <c:numCache>
                <c:formatCode>[$$-409]#,##0.00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7A-A546-81AC-189D5BB8B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47183"/>
        <c:axId val="741620031"/>
      </c:barChart>
      <c:catAx>
        <c:axId val="79834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41620031"/>
        <c:crosses val="autoZero"/>
        <c:auto val="1"/>
        <c:lblAlgn val="ctr"/>
        <c:lblOffset val="100"/>
        <c:noMultiLvlLbl val="0"/>
      </c:catAx>
      <c:valAx>
        <c:axId val="74162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98347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Percentage</a:t>
            </a:r>
            <a:r>
              <a:rPr lang="en-GB" baseline="0"/>
              <a:t> of Total Monthly Expense by Category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C41-FA46-AAE2-5BAEFA4302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C41-FA46-AAE2-5BAEFA4302E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C41-FA46-AAE2-5BAEFA4302E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C41-FA46-AAE2-5BAEFA4302E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C41-FA46-AAE2-5BAEFA4302E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C41-FA46-AAE2-5BAEFA4302E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C41-FA46-AAE2-5BAEFA4302E4}"/>
              </c:ext>
            </c:extLst>
          </c:dPt>
          <c:cat>
            <c:strRef>
              <c:f>October!$K$8:$K$14</c:f>
              <c:strCache>
                <c:ptCount val="7"/>
                <c:pt idx="0">
                  <c:v>Groceries</c:v>
                </c:pt>
                <c:pt idx="1">
                  <c:v>Personal Spending</c:v>
                </c:pt>
                <c:pt idx="2">
                  <c:v>Housing</c:v>
                </c:pt>
                <c:pt idx="3">
                  <c:v>Transportation</c:v>
                </c:pt>
                <c:pt idx="4">
                  <c:v>Savings</c:v>
                </c:pt>
                <c:pt idx="5">
                  <c:v>Investing</c:v>
                </c:pt>
                <c:pt idx="6">
                  <c:v>Miscellaneous</c:v>
                </c:pt>
              </c:strCache>
            </c:strRef>
          </c:cat>
          <c:val>
            <c:numRef>
              <c:f>October!$L$8:$L$14</c:f>
              <c:numCache>
                <c:formatCode>[$$-409]#,##0.00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C41-FA46-AAE2-5BAEFA430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Monthly Income and</a:t>
            </a:r>
            <a:r>
              <a:rPr lang="en-GB" baseline="0"/>
              <a:t> Expense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October!$K$4:$L$4</c:f>
              <c:strCache>
                <c:ptCount val="2"/>
                <c:pt idx="0">
                  <c:v>Total Monthly Income</c:v>
                </c:pt>
                <c:pt idx="1">
                  <c:v>Total Monthly Expense</c:v>
                </c:pt>
              </c:strCache>
            </c:strRef>
          </c:cat>
          <c:val>
            <c:numRef>
              <c:f>October!$K$5:$L$5</c:f>
              <c:numCache>
                <c:formatCode>[$$-409]#,##0.00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3D-7046-9CAA-4A6988A94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47183"/>
        <c:axId val="741620031"/>
      </c:barChart>
      <c:catAx>
        <c:axId val="79834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41620031"/>
        <c:crosses val="autoZero"/>
        <c:auto val="1"/>
        <c:lblAlgn val="ctr"/>
        <c:lblOffset val="100"/>
        <c:noMultiLvlLbl val="0"/>
      </c:catAx>
      <c:valAx>
        <c:axId val="74162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98347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Percentage</a:t>
            </a:r>
            <a:r>
              <a:rPr lang="en-GB" baseline="0"/>
              <a:t> of Total Monthly Expense by Category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0F-A24F-B2A2-43C39F992C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0F-A24F-B2A2-43C39F992C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0F-A24F-B2A2-43C39F992CC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40F-A24F-B2A2-43C39F992CC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40F-A24F-B2A2-43C39F992CC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40F-A24F-B2A2-43C39F992CC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40F-A24F-B2A2-43C39F992CC8}"/>
              </c:ext>
            </c:extLst>
          </c:dPt>
          <c:cat>
            <c:strRef>
              <c:f>November!$K$8:$K$14</c:f>
              <c:strCache>
                <c:ptCount val="7"/>
                <c:pt idx="0">
                  <c:v>Groceries</c:v>
                </c:pt>
                <c:pt idx="1">
                  <c:v>Personal Spending</c:v>
                </c:pt>
                <c:pt idx="2">
                  <c:v>Housing</c:v>
                </c:pt>
                <c:pt idx="3">
                  <c:v>Transportation</c:v>
                </c:pt>
                <c:pt idx="4">
                  <c:v>Savings</c:v>
                </c:pt>
                <c:pt idx="5">
                  <c:v>Investing</c:v>
                </c:pt>
                <c:pt idx="6">
                  <c:v>Miscellaneous</c:v>
                </c:pt>
              </c:strCache>
            </c:strRef>
          </c:cat>
          <c:val>
            <c:numRef>
              <c:f>November!$L$8:$L$14</c:f>
              <c:numCache>
                <c:formatCode>[$$-409]#,##0.00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40F-A24F-B2A2-43C39F992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Monthly Income and</a:t>
            </a:r>
            <a:r>
              <a:rPr lang="en-GB" baseline="0"/>
              <a:t> Expense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November!$K$4:$L$4</c:f>
              <c:strCache>
                <c:ptCount val="2"/>
                <c:pt idx="0">
                  <c:v>Total Monthly Income</c:v>
                </c:pt>
                <c:pt idx="1">
                  <c:v>Total Monthly Expense</c:v>
                </c:pt>
              </c:strCache>
            </c:strRef>
          </c:cat>
          <c:val>
            <c:numRef>
              <c:f>November!$K$5:$L$5</c:f>
              <c:numCache>
                <c:formatCode>[$$-409]#,##0.00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39-9949-9E85-B908AF767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47183"/>
        <c:axId val="741620031"/>
      </c:barChart>
      <c:catAx>
        <c:axId val="79834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41620031"/>
        <c:crosses val="autoZero"/>
        <c:auto val="1"/>
        <c:lblAlgn val="ctr"/>
        <c:lblOffset val="100"/>
        <c:noMultiLvlLbl val="0"/>
      </c:catAx>
      <c:valAx>
        <c:axId val="74162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98347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Percentage</a:t>
            </a:r>
            <a:r>
              <a:rPr lang="en-GB" baseline="0"/>
              <a:t> of Total Monthly Expense by Category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E4F-3747-A084-C7E44DB11E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E4F-3747-A084-C7E44DB11E3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E4F-3747-A084-C7E44DB11E3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E4F-3747-A084-C7E44DB11E3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E4F-3747-A084-C7E44DB11E3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E4F-3747-A084-C7E44DB11E3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E4F-3747-A084-C7E44DB11E3A}"/>
              </c:ext>
            </c:extLst>
          </c:dPt>
          <c:cat>
            <c:strRef>
              <c:f>December!$K$8:$K$14</c:f>
              <c:strCache>
                <c:ptCount val="7"/>
                <c:pt idx="0">
                  <c:v>Groceries</c:v>
                </c:pt>
                <c:pt idx="1">
                  <c:v>Personal Spending</c:v>
                </c:pt>
                <c:pt idx="2">
                  <c:v>Housing</c:v>
                </c:pt>
                <c:pt idx="3">
                  <c:v>Transportation</c:v>
                </c:pt>
                <c:pt idx="4">
                  <c:v>Savings</c:v>
                </c:pt>
                <c:pt idx="5">
                  <c:v>Investing</c:v>
                </c:pt>
                <c:pt idx="6">
                  <c:v>Miscellaneous</c:v>
                </c:pt>
              </c:strCache>
            </c:strRef>
          </c:cat>
          <c:val>
            <c:numRef>
              <c:f>December!$L$8:$L$14</c:f>
              <c:numCache>
                <c:formatCode>[$$-409]#,##0.00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E4F-3747-A084-C7E44DB11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Monthly Income and</a:t>
            </a:r>
            <a:r>
              <a:rPr lang="en-GB" baseline="0"/>
              <a:t> Expense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December!$K$4:$L$4</c:f>
              <c:strCache>
                <c:ptCount val="2"/>
                <c:pt idx="0">
                  <c:v>Total Monthly Income</c:v>
                </c:pt>
                <c:pt idx="1">
                  <c:v>Total Monthly Expense</c:v>
                </c:pt>
              </c:strCache>
            </c:strRef>
          </c:cat>
          <c:val>
            <c:numRef>
              <c:f>December!$K$5:$L$5</c:f>
              <c:numCache>
                <c:formatCode>[$$-409]#,##0.00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C-0149-9155-5388B1171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8347183"/>
        <c:axId val="741620031"/>
      </c:barChart>
      <c:catAx>
        <c:axId val="79834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41620031"/>
        <c:crosses val="autoZero"/>
        <c:auto val="1"/>
        <c:lblAlgn val="ctr"/>
        <c:lblOffset val="100"/>
        <c:noMultiLvlLbl val="0"/>
      </c:catAx>
      <c:valAx>
        <c:axId val="74162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98347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baseline="0">
                <a:effectLst/>
              </a:rPr>
              <a:t>Percentage of Total Yearly Expense by Category</a:t>
            </a:r>
            <a:endParaRPr lang="en-GL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75-6141-BED0-70E42C4A7B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75-6141-BED0-70E42C4A7B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775-6141-BED0-70E42C4A7B7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775-6141-BED0-70E42C4A7B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775-6141-BED0-70E42C4A7B7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775-6141-BED0-70E42C4A7B7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775-6141-BED0-70E42C4A7B71}"/>
              </c:ext>
            </c:extLst>
          </c:dPt>
          <c:cat>
            <c:strRef>
              <c:f>'Yearly Summary'!$B$7:$B$13</c:f>
              <c:strCache>
                <c:ptCount val="7"/>
                <c:pt idx="0">
                  <c:v>Groceries</c:v>
                </c:pt>
                <c:pt idx="1">
                  <c:v>Personal Spending</c:v>
                </c:pt>
                <c:pt idx="2">
                  <c:v>Housing</c:v>
                </c:pt>
                <c:pt idx="3">
                  <c:v>Transportation</c:v>
                </c:pt>
                <c:pt idx="4">
                  <c:v>Savings</c:v>
                </c:pt>
                <c:pt idx="5">
                  <c:v>Investing</c:v>
                </c:pt>
                <c:pt idx="6">
                  <c:v>Miscellaneous</c:v>
                </c:pt>
              </c:strCache>
            </c:strRef>
          </c:cat>
          <c:val>
            <c:numRef>
              <c:f>'Yearly Summary'!$C$7:$C$13</c:f>
              <c:numCache>
                <c:formatCode>[$$-409]#,##0.00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3E-7B41-BAA7-8391BD845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baseline="0">
                <a:effectLst/>
              </a:rPr>
              <a:t>Total Monthly Income and Expense</a:t>
            </a:r>
            <a:endParaRPr lang="en-GL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G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'Yearly Summary'!$B$3:$C$3</c:f>
              <c:strCache>
                <c:ptCount val="2"/>
                <c:pt idx="0">
                  <c:v>Total Income</c:v>
                </c:pt>
                <c:pt idx="1">
                  <c:v>Total Expense</c:v>
                </c:pt>
              </c:strCache>
            </c:strRef>
          </c:cat>
          <c:val>
            <c:numRef>
              <c:f>'Yearly Summary'!$B$4:$C$4</c:f>
              <c:numCache>
                <c:formatCode>[$$-409]#,##0.00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2-3945-8A67-2F30544D5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4092607"/>
        <c:axId val="798831087"/>
      </c:barChart>
      <c:catAx>
        <c:axId val="79409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98831087"/>
        <c:crosses val="autoZero"/>
        <c:auto val="1"/>
        <c:lblAlgn val="ctr"/>
        <c:lblOffset val="100"/>
        <c:noMultiLvlLbl val="0"/>
      </c:catAx>
      <c:valAx>
        <c:axId val="798831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L"/>
          </a:p>
        </c:txPr>
        <c:crossAx val="794092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G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3</xdr:row>
          <xdr:rowOff>38100</xdr:rowOff>
        </xdr:from>
        <xdr:to>
          <xdr:col>3</xdr:col>
          <xdr:colOff>1905000</xdr:colOff>
          <xdr:row>7</xdr:row>
          <xdr:rowOff>63500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Click here to start inputting expenses under your category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819150</xdr:colOff>
      <xdr:row>14</xdr:row>
      <xdr:rowOff>127000</xdr:rowOff>
    </xdr:from>
    <xdr:to>
      <xdr:col>13</xdr:col>
      <xdr:colOff>571500</xdr:colOff>
      <xdr:row>30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95250</xdr:colOff>
      <xdr:row>0</xdr:row>
      <xdr:rowOff>127000</xdr:rowOff>
    </xdr:from>
    <xdr:to>
      <xdr:col>16</xdr:col>
      <xdr:colOff>584200</xdr:colOff>
      <xdr:row>14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3</xdr:row>
          <xdr:rowOff>38100</xdr:rowOff>
        </xdr:from>
        <xdr:to>
          <xdr:col>3</xdr:col>
          <xdr:colOff>1905000</xdr:colOff>
          <xdr:row>7</xdr:row>
          <xdr:rowOff>63500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Click here to start inputting expenses under your category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819150</xdr:colOff>
      <xdr:row>14</xdr:row>
      <xdr:rowOff>127000</xdr:rowOff>
    </xdr:from>
    <xdr:to>
      <xdr:col>13</xdr:col>
      <xdr:colOff>571500</xdr:colOff>
      <xdr:row>30</xdr:row>
      <xdr:rowOff>203200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95250</xdr:colOff>
      <xdr:row>0</xdr:row>
      <xdr:rowOff>127000</xdr:rowOff>
    </xdr:from>
    <xdr:to>
      <xdr:col>16</xdr:col>
      <xdr:colOff>584200</xdr:colOff>
      <xdr:row>14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3</xdr:row>
          <xdr:rowOff>38100</xdr:rowOff>
        </xdr:from>
        <xdr:to>
          <xdr:col>3</xdr:col>
          <xdr:colOff>1905000</xdr:colOff>
          <xdr:row>7</xdr:row>
          <xdr:rowOff>63500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Click here to start inputting expenses under your category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819150</xdr:colOff>
      <xdr:row>14</xdr:row>
      <xdr:rowOff>127000</xdr:rowOff>
    </xdr:from>
    <xdr:to>
      <xdr:col>13</xdr:col>
      <xdr:colOff>571500</xdr:colOff>
      <xdr:row>30</xdr:row>
      <xdr:rowOff>203200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95250</xdr:colOff>
      <xdr:row>0</xdr:row>
      <xdr:rowOff>127000</xdr:rowOff>
    </xdr:from>
    <xdr:to>
      <xdr:col>16</xdr:col>
      <xdr:colOff>584200</xdr:colOff>
      <xdr:row>14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3</xdr:row>
          <xdr:rowOff>38100</xdr:rowOff>
        </xdr:from>
        <xdr:to>
          <xdr:col>3</xdr:col>
          <xdr:colOff>1905000</xdr:colOff>
          <xdr:row>7</xdr:row>
          <xdr:rowOff>63500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Click here to start inputting expenses under your category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819150</xdr:colOff>
      <xdr:row>14</xdr:row>
      <xdr:rowOff>127000</xdr:rowOff>
    </xdr:from>
    <xdr:to>
      <xdr:col>13</xdr:col>
      <xdr:colOff>571500</xdr:colOff>
      <xdr:row>30</xdr:row>
      <xdr:rowOff>203200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95250</xdr:colOff>
      <xdr:row>0</xdr:row>
      <xdr:rowOff>127000</xdr:rowOff>
    </xdr:from>
    <xdr:to>
      <xdr:col>16</xdr:col>
      <xdr:colOff>584200</xdr:colOff>
      <xdr:row>14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3</xdr:row>
          <xdr:rowOff>38100</xdr:rowOff>
        </xdr:from>
        <xdr:to>
          <xdr:col>3</xdr:col>
          <xdr:colOff>1905000</xdr:colOff>
          <xdr:row>7</xdr:row>
          <xdr:rowOff>63500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Click here to start inputting expenses under your category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819150</xdr:colOff>
      <xdr:row>14</xdr:row>
      <xdr:rowOff>127000</xdr:rowOff>
    </xdr:from>
    <xdr:to>
      <xdr:col>13</xdr:col>
      <xdr:colOff>571500</xdr:colOff>
      <xdr:row>30</xdr:row>
      <xdr:rowOff>203200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95250</xdr:colOff>
      <xdr:row>0</xdr:row>
      <xdr:rowOff>127000</xdr:rowOff>
    </xdr:from>
    <xdr:to>
      <xdr:col>16</xdr:col>
      <xdr:colOff>584200</xdr:colOff>
      <xdr:row>14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3</xdr:row>
          <xdr:rowOff>38100</xdr:rowOff>
        </xdr:from>
        <xdr:to>
          <xdr:col>3</xdr:col>
          <xdr:colOff>1905000</xdr:colOff>
          <xdr:row>7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Click here to start inputting expenses under your category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819150</xdr:colOff>
      <xdr:row>14</xdr:row>
      <xdr:rowOff>127000</xdr:rowOff>
    </xdr:from>
    <xdr:to>
      <xdr:col>13</xdr:col>
      <xdr:colOff>571500</xdr:colOff>
      <xdr:row>30</xdr:row>
      <xdr:rowOff>203200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95250</xdr:colOff>
      <xdr:row>0</xdr:row>
      <xdr:rowOff>127000</xdr:rowOff>
    </xdr:from>
    <xdr:to>
      <xdr:col>16</xdr:col>
      <xdr:colOff>584200</xdr:colOff>
      <xdr:row>14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3</xdr:row>
          <xdr:rowOff>38100</xdr:rowOff>
        </xdr:from>
        <xdr:to>
          <xdr:col>3</xdr:col>
          <xdr:colOff>1905000</xdr:colOff>
          <xdr:row>7</xdr:row>
          <xdr:rowOff>63500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Click here to start inputting expenses under your category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819150</xdr:colOff>
      <xdr:row>14</xdr:row>
      <xdr:rowOff>127000</xdr:rowOff>
    </xdr:from>
    <xdr:to>
      <xdr:col>13</xdr:col>
      <xdr:colOff>571500</xdr:colOff>
      <xdr:row>30</xdr:row>
      <xdr:rowOff>203200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95250</xdr:colOff>
      <xdr:row>0</xdr:row>
      <xdr:rowOff>127000</xdr:rowOff>
    </xdr:from>
    <xdr:to>
      <xdr:col>16</xdr:col>
      <xdr:colOff>584200</xdr:colOff>
      <xdr:row>14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3</xdr:row>
          <xdr:rowOff>38100</xdr:rowOff>
        </xdr:from>
        <xdr:to>
          <xdr:col>3</xdr:col>
          <xdr:colOff>1905000</xdr:colOff>
          <xdr:row>7</xdr:row>
          <xdr:rowOff>63500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Click here to start inputting expenses under your category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819150</xdr:colOff>
      <xdr:row>14</xdr:row>
      <xdr:rowOff>127000</xdr:rowOff>
    </xdr:from>
    <xdr:to>
      <xdr:col>13</xdr:col>
      <xdr:colOff>571500</xdr:colOff>
      <xdr:row>30</xdr:row>
      <xdr:rowOff>203200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95250</xdr:colOff>
      <xdr:row>0</xdr:row>
      <xdr:rowOff>127000</xdr:rowOff>
    </xdr:from>
    <xdr:to>
      <xdr:col>16</xdr:col>
      <xdr:colOff>584200</xdr:colOff>
      <xdr:row>14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3</xdr:row>
          <xdr:rowOff>38100</xdr:rowOff>
        </xdr:from>
        <xdr:to>
          <xdr:col>3</xdr:col>
          <xdr:colOff>1905000</xdr:colOff>
          <xdr:row>7</xdr:row>
          <xdr:rowOff>63500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Click here to start inputting expenses under your category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819150</xdr:colOff>
      <xdr:row>14</xdr:row>
      <xdr:rowOff>127000</xdr:rowOff>
    </xdr:from>
    <xdr:to>
      <xdr:col>13</xdr:col>
      <xdr:colOff>571500</xdr:colOff>
      <xdr:row>30</xdr:row>
      <xdr:rowOff>203200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95250</xdr:colOff>
      <xdr:row>0</xdr:row>
      <xdr:rowOff>127000</xdr:rowOff>
    </xdr:from>
    <xdr:to>
      <xdr:col>16</xdr:col>
      <xdr:colOff>584200</xdr:colOff>
      <xdr:row>14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3</xdr:row>
          <xdr:rowOff>38100</xdr:rowOff>
        </xdr:from>
        <xdr:to>
          <xdr:col>3</xdr:col>
          <xdr:colOff>1905000</xdr:colOff>
          <xdr:row>7</xdr:row>
          <xdr:rowOff>63500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A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Click here to start inputting expenses under your category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819150</xdr:colOff>
      <xdr:row>14</xdr:row>
      <xdr:rowOff>127000</xdr:rowOff>
    </xdr:from>
    <xdr:to>
      <xdr:col>13</xdr:col>
      <xdr:colOff>571500</xdr:colOff>
      <xdr:row>30</xdr:row>
      <xdr:rowOff>203200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95250</xdr:colOff>
      <xdr:row>0</xdr:row>
      <xdr:rowOff>127000</xdr:rowOff>
    </xdr:from>
    <xdr:to>
      <xdr:col>16</xdr:col>
      <xdr:colOff>584200</xdr:colOff>
      <xdr:row>14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3</xdr:row>
          <xdr:rowOff>38100</xdr:rowOff>
        </xdr:from>
        <xdr:to>
          <xdr:col>3</xdr:col>
          <xdr:colOff>1905000</xdr:colOff>
          <xdr:row>7</xdr:row>
          <xdr:rowOff>63500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B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Click here to start inputting expenses under your category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819150</xdr:colOff>
      <xdr:row>14</xdr:row>
      <xdr:rowOff>127000</xdr:rowOff>
    </xdr:from>
    <xdr:to>
      <xdr:col>13</xdr:col>
      <xdr:colOff>571500</xdr:colOff>
      <xdr:row>30</xdr:row>
      <xdr:rowOff>203200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95250</xdr:colOff>
      <xdr:row>0</xdr:row>
      <xdr:rowOff>127000</xdr:rowOff>
    </xdr:from>
    <xdr:to>
      <xdr:col>16</xdr:col>
      <xdr:colOff>584200</xdr:colOff>
      <xdr:row>14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3</xdr:row>
          <xdr:rowOff>38100</xdr:rowOff>
        </xdr:from>
        <xdr:to>
          <xdr:col>3</xdr:col>
          <xdr:colOff>1905000</xdr:colOff>
          <xdr:row>7</xdr:row>
          <xdr:rowOff>63500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C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Click here to start inputting expenses under your category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819150</xdr:colOff>
      <xdr:row>14</xdr:row>
      <xdr:rowOff>127000</xdr:rowOff>
    </xdr:from>
    <xdr:to>
      <xdr:col>13</xdr:col>
      <xdr:colOff>571500</xdr:colOff>
      <xdr:row>30</xdr:row>
      <xdr:rowOff>203200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95250</xdr:colOff>
      <xdr:row>0</xdr:row>
      <xdr:rowOff>127000</xdr:rowOff>
    </xdr:from>
    <xdr:to>
      <xdr:col>16</xdr:col>
      <xdr:colOff>584200</xdr:colOff>
      <xdr:row>14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539750</xdr:colOff>
      <xdr:row>2</xdr:row>
      <xdr:rowOff>215900</xdr:rowOff>
    </xdr:from>
    <xdr:to>
      <xdr:col>9</xdr:col>
      <xdr:colOff>812800</xdr:colOff>
      <xdr:row>20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222250</xdr:colOff>
      <xdr:row>2</xdr:row>
      <xdr:rowOff>215900</xdr:rowOff>
    </xdr:from>
    <xdr:to>
      <xdr:col>14</xdr:col>
      <xdr:colOff>596900</xdr:colOff>
      <xdr:row>20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00961-14D1-E842-9DFE-AF1CEC1669A1}">
  <sheetPr codeName="Sheet1"/>
  <dimension ref="A1:K5"/>
  <sheetViews>
    <sheetView tabSelected="1" workbookViewId="0">
      <selection activeCell="A4" sqref="A4"/>
    </sheetView>
  </sheetViews>
  <sheetFormatPr baseColWidth="10" defaultRowHeight="16" x14ac:dyDescent="0.2"/>
  <cols>
    <col min="1" max="16384" width="10.83203125" style="22"/>
  </cols>
  <sheetData>
    <row r="1" spans="1:11" ht="25" x14ac:dyDescent="0.2">
      <c r="A1" s="26" t="s">
        <v>30</v>
      </c>
      <c r="B1" s="26"/>
      <c r="C1" s="26"/>
      <c r="D1" s="26"/>
      <c r="E1" s="26"/>
      <c r="F1" s="26"/>
      <c r="G1" s="26"/>
      <c r="H1" s="26"/>
      <c r="I1" s="26"/>
      <c r="J1" s="26"/>
      <c r="K1" s="26"/>
    </row>
    <row r="3" spans="1:11" ht="18" x14ac:dyDescent="0.2">
      <c r="A3" s="23" t="s">
        <v>0</v>
      </c>
    </row>
    <row r="4" spans="1:11" ht="18" x14ac:dyDescent="0.2">
      <c r="A4" s="23" t="s">
        <v>25</v>
      </c>
    </row>
    <row r="5" spans="1:11" x14ac:dyDescent="0.2">
      <c r="A5" s="22" t="s">
        <v>26</v>
      </c>
    </row>
  </sheetData>
  <mergeCells count="1">
    <mergeCell ref="A1:K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393F6-0B94-1240-ABB2-8BABD209C076}">
  <sheetPr codeName="Sheet3"/>
  <dimension ref="A1:AA14"/>
  <sheetViews>
    <sheetView workbookViewId="0">
      <selection activeCell="G10" sqref="G10"/>
    </sheetView>
  </sheetViews>
  <sheetFormatPr baseColWidth="10" defaultRowHeight="18" x14ac:dyDescent="0.2"/>
  <cols>
    <col min="1" max="2" width="16" style="8" customWidth="1"/>
    <col min="3" max="3" width="20.6640625" style="1" customWidth="1"/>
    <col min="4" max="4" width="25.1640625" style="1" customWidth="1"/>
    <col min="5" max="5" width="10.83203125" style="1"/>
    <col min="6" max="6" width="22.6640625" style="18" customWidth="1"/>
    <col min="7" max="7" width="21.83203125" style="18" bestFit="1" customWidth="1"/>
    <col min="8" max="8" width="13.1640625" style="19" customWidth="1"/>
    <col min="9" max="9" width="11.1640625" style="18" bestFit="1" customWidth="1"/>
    <col min="10" max="10" width="10.83203125" style="1"/>
    <col min="11" max="12" width="28" style="1" bestFit="1" customWidth="1"/>
    <col min="13" max="16384" width="10.83203125" style="1"/>
  </cols>
  <sheetData>
    <row r="1" spans="1:27" ht="46" customHeight="1" x14ac:dyDescent="0.2">
      <c r="A1" s="27" t="s">
        <v>3</v>
      </c>
      <c r="B1" s="27"/>
      <c r="D1" s="27" t="s">
        <v>1</v>
      </c>
      <c r="E1" s="27"/>
      <c r="F1" s="27"/>
      <c r="G1" s="27"/>
      <c r="H1" s="27"/>
      <c r="I1" s="27"/>
      <c r="AA1" s="1" t="s">
        <v>9</v>
      </c>
    </row>
    <row r="2" spans="1:27" ht="19" thickBot="1" x14ac:dyDescent="0.25">
      <c r="A2" s="21" t="s">
        <v>20</v>
      </c>
      <c r="D2" s="2" t="s">
        <v>16</v>
      </c>
      <c r="F2" s="1"/>
      <c r="G2" s="1"/>
      <c r="H2" s="1"/>
      <c r="I2" s="1"/>
      <c r="AA2" s="1" t="s">
        <v>7</v>
      </c>
    </row>
    <row r="3" spans="1:27" ht="19" thickBot="1" x14ac:dyDescent="0.25">
      <c r="C3" s="3"/>
      <c r="D3" s="4" t="s">
        <v>11</v>
      </c>
      <c r="F3" s="1"/>
      <c r="G3" s="1"/>
      <c r="H3" s="1"/>
      <c r="I3" s="1"/>
      <c r="AA3" s="1" t="s">
        <v>14</v>
      </c>
    </row>
    <row r="4" spans="1:27" x14ac:dyDescent="0.2">
      <c r="A4" s="9" t="s">
        <v>18</v>
      </c>
      <c r="B4" s="9" t="s">
        <v>19</v>
      </c>
      <c r="E4" s="6"/>
      <c r="F4" s="7" t="s">
        <v>5</v>
      </c>
      <c r="G4" s="7" t="s">
        <v>6</v>
      </c>
      <c r="H4" s="13" t="s">
        <v>13</v>
      </c>
      <c r="I4" s="7" t="s">
        <v>8</v>
      </c>
      <c r="K4" s="7" t="s">
        <v>24</v>
      </c>
      <c r="L4" s="5" t="s">
        <v>22</v>
      </c>
      <c r="AA4" s="1" t="s">
        <v>2</v>
      </c>
    </row>
    <row r="5" spans="1:27" ht="19" x14ac:dyDescent="0.2">
      <c r="A5" s="10"/>
      <c r="B5" s="10"/>
      <c r="E5" s="14" t="s">
        <v>17</v>
      </c>
      <c r="F5" s="15" t="s">
        <v>7</v>
      </c>
      <c r="G5" s="15" t="s">
        <v>15</v>
      </c>
      <c r="H5" s="16">
        <v>5</v>
      </c>
      <c r="I5" s="17">
        <v>44197</v>
      </c>
      <c r="K5" s="11">
        <f>SUM(B5:B14)</f>
        <v>0</v>
      </c>
      <c r="L5" s="12">
        <f>SUM(H6:H1048576)</f>
        <v>0</v>
      </c>
      <c r="AA5" s="1" t="s">
        <v>4</v>
      </c>
    </row>
    <row r="6" spans="1:27" x14ac:dyDescent="0.2">
      <c r="A6" s="10"/>
      <c r="B6" s="10"/>
      <c r="I6" s="20"/>
      <c r="AA6" s="1" t="s">
        <v>10</v>
      </c>
    </row>
    <row r="7" spans="1:27" x14ac:dyDescent="0.2">
      <c r="A7" s="10"/>
      <c r="B7" s="10"/>
      <c r="I7" s="20"/>
      <c r="K7" s="9" t="s">
        <v>5</v>
      </c>
      <c r="L7" s="9" t="s">
        <v>23</v>
      </c>
      <c r="AA7" s="1" t="s">
        <v>11</v>
      </c>
    </row>
    <row r="8" spans="1:27" x14ac:dyDescent="0.2">
      <c r="A8" s="10"/>
      <c r="B8" s="10"/>
      <c r="K8" s="10" t="s">
        <v>7</v>
      </c>
      <c r="L8" s="11">
        <f>SUMIF($F$6:$F$1048576, "*"&amp;K8&amp;"*", $H$6:$H$1048576)</f>
        <v>0</v>
      </c>
      <c r="AA8" s="1" t="s">
        <v>12</v>
      </c>
    </row>
    <row r="9" spans="1:27" x14ac:dyDescent="0.2">
      <c r="A9" s="10"/>
      <c r="B9" s="10"/>
      <c r="K9" s="10" t="s">
        <v>14</v>
      </c>
      <c r="L9" s="11">
        <f t="shared" ref="L9:L14" si="0">SUMIF($F$6:$F$1048576, "*"&amp;K9&amp;"*", $H$6:$H$1048576)</f>
        <v>0</v>
      </c>
    </row>
    <row r="10" spans="1:27" x14ac:dyDescent="0.2">
      <c r="A10" s="10"/>
      <c r="B10" s="10"/>
      <c r="K10" s="10" t="s">
        <v>2</v>
      </c>
      <c r="L10" s="11">
        <f t="shared" si="0"/>
        <v>0</v>
      </c>
    </row>
    <row r="11" spans="1:27" x14ac:dyDescent="0.2">
      <c r="A11" s="10"/>
      <c r="B11" s="10"/>
      <c r="K11" s="10" t="s">
        <v>4</v>
      </c>
      <c r="L11" s="11">
        <f t="shared" si="0"/>
        <v>0</v>
      </c>
    </row>
    <row r="12" spans="1:27" x14ac:dyDescent="0.2">
      <c r="A12" s="10"/>
      <c r="B12" s="10"/>
      <c r="K12" s="10" t="s">
        <v>10</v>
      </c>
      <c r="L12" s="11">
        <f t="shared" si="0"/>
        <v>0</v>
      </c>
    </row>
    <row r="13" spans="1:27" x14ac:dyDescent="0.2">
      <c r="A13" s="10"/>
      <c r="B13" s="10"/>
      <c r="K13" s="10" t="s">
        <v>11</v>
      </c>
      <c r="L13" s="11">
        <f t="shared" si="0"/>
        <v>0</v>
      </c>
    </row>
    <row r="14" spans="1:27" x14ac:dyDescent="0.2">
      <c r="A14" s="10"/>
      <c r="B14" s="10"/>
      <c r="K14" s="10" t="s">
        <v>12</v>
      </c>
      <c r="L14" s="11">
        <f t="shared" si="0"/>
        <v>0</v>
      </c>
    </row>
  </sheetData>
  <mergeCells count="2">
    <mergeCell ref="D1:I1"/>
    <mergeCell ref="A1:B1"/>
  </mergeCells>
  <dataValidations count="2">
    <dataValidation type="list" allowBlank="1" showInputMessage="1" showErrorMessage="1" sqref="AA2:AA8" xr:uid="{55812142-A78F-4243-8F75-69C473E24EFE}">
      <formula1>$AA$2:$AA$8</formula1>
    </dataValidation>
    <dataValidation type="list" allowBlank="1" showInputMessage="1" showErrorMessage="1" sqref="D3" xr:uid="{5B2E4D38-5263-6740-9615-A41EE8973159}">
      <formula1>AA2:AA8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3" r:id="rId3" name="Button 13">
              <controlPr defaultSize="0" print="0" autoFill="0" autoPict="0" macro="[0]!NewExpenseInput">
                <anchor>
                  <from>
                    <xdr:col>2</xdr:col>
                    <xdr:colOff>1562100</xdr:colOff>
                    <xdr:row>3</xdr:row>
                    <xdr:rowOff>38100</xdr:rowOff>
                  </from>
                  <to>
                    <xdr:col>3</xdr:col>
                    <xdr:colOff>1905000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593A-A181-F04F-A485-5271B09EDEDF}">
  <sheetPr codeName="Sheet4"/>
  <dimension ref="A1:AA14"/>
  <sheetViews>
    <sheetView topLeftCell="F1" workbookViewId="0">
      <selection activeCell="G9" sqref="G9"/>
    </sheetView>
  </sheetViews>
  <sheetFormatPr baseColWidth="10" defaultRowHeight="18" x14ac:dyDescent="0.2"/>
  <cols>
    <col min="1" max="2" width="16" style="8" customWidth="1"/>
    <col min="3" max="3" width="20.6640625" style="1" customWidth="1"/>
    <col min="4" max="4" width="25.1640625" style="1" customWidth="1"/>
    <col min="5" max="5" width="10.83203125" style="1"/>
    <col min="6" max="6" width="22.6640625" style="18" customWidth="1"/>
    <col min="7" max="7" width="21.83203125" style="18" bestFit="1" customWidth="1"/>
    <col min="8" max="8" width="13.1640625" style="19" customWidth="1"/>
    <col min="9" max="9" width="11.1640625" style="18" bestFit="1" customWidth="1"/>
    <col min="10" max="10" width="10.83203125" style="1"/>
    <col min="11" max="12" width="28" style="1" bestFit="1" customWidth="1"/>
    <col min="13" max="16384" width="10.83203125" style="1"/>
  </cols>
  <sheetData>
    <row r="1" spans="1:27" ht="46" customHeight="1" x14ac:dyDescent="0.2">
      <c r="A1" s="27" t="s">
        <v>3</v>
      </c>
      <c r="B1" s="27"/>
      <c r="D1" s="27" t="s">
        <v>1</v>
      </c>
      <c r="E1" s="27"/>
      <c r="F1" s="27"/>
      <c r="G1" s="27"/>
      <c r="H1" s="27"/>
      <c r="I1" s="27"/>
      <c r="AA1" s="1" t="s">
        <v>9</v>
      </c>
    </row>
    <row r="2" spans="1:27" ht="19" thickBot="1" x14ac:dyDescent="0.25">
      <c r="A2" s="21" t="s">
        <v>20</v>
      </c>
      <c r="D2" s="2" t="s">
        <v>16</v>
      </c>
      <c r="F2" s="1"/>
      <c r="G2" s="1"/>
      <c r="H2" s="1"/>
      <c r="I2" s="1"/>
      <c r="AA2" s="1" t="s">
        <v>7</v>
      </c>
    </row>
    <row r="3" spans="1:27" ht="19" thickBot="1" x14ac:dyDescent="0.25">
      <c r="C3" s="3"/>
      <c r="D3" s="4" t="s">
        <v>11</v>
      </c>
      <c r="F3" s="1"/>
      <c r="G3" s="1"/>
      <c r="H3" s="1"/>
      <c r="I3" s="1"/>
      <c r="AA3" s="1" t="s">
        <v>14</v>
      </c>
    </row>
    <row r="4" spans="1:27" x14ac:dyDescent="0.2">
      <c r="A4" s="9" t="s">
        <v>18</v>
      </c>
      <c r="B4" s="9" t="s">
        <v>19</v>
      </c>
      <c r="E4" s="6"/>
      <c r="F4" s="7" t="s">
        <v>5</v>
      </c>
      <c r="G4" s="7" t="s">
        <v>6</v>
      </c>
      <c r="H4" s="13" t="s">
        <v>13</v>
      </c>
      <c r="I4" s="7" t="s">
        <v>8</v>
      </c>
      <c r="K4" s="7" t="s">
        <v>24</v>
      </c>
      <c r="L4" s="5" t="s">
        <v>22</v>
      </c>
      <c r="AA4" s="1" t="s">
        <v>2</v>
      </c>
    </row>
    <row r="5" spans="1:27" ht="19" x14ac:dyDescent="0.2">
      <c r="A5" s="10"/>
      <c r="B5" s="10"/>
      <c r="E5" s="14" t="s">
        <v>17</v>
      </c>
      <c r="F5" s="15" t="s">
        <v>7</v>
      </c>
      <c r="G5" s="15" t="s">
        <v>15</v>
      </c>
      <c r="H5" s="16">
        <v>5</v>
      </c>
      <c r="I5" s="17">
        <v>44228</v>
      </c>
      <c r="K5" s="11">
        <f>SUM(B5:B14)</f>
        <v>0</v>
      </c>
      <c r="L5" s="12">
        <f>SUM(H6:H1048576)</f>
        <v>0</v>
      </c>
      <c r="AA5" s="1" t="s">
        <v>4</v>
      </c>
    </row>
    <row r="6" spans="1:27" x14ac:dyDescent="0.2">
      <c r="A6" s="10"/>
      <c r="B6" s="10"/>
      <c r="I6" s="20"/>
      <c r="AA6" s="1" t="s">
        <v>10</v>
      </c>
    </row>
    <row r="7" spans="1:27" x14ac:dyDescent="0.2">
      <c r="A7" s="10"/>
      <c r="B7" s="10"/>
      <c r="I7" s="20"/>
      <c r="K7" s="9" t="s">
        <v>5</v>
      </c>
      <c r="L7" s="9" t="s">
        <v>23</v>
      </c>
      <c r="AA7" s="1" t="s">
        <v>11</v>
      </c>
    </row>
    <row r="8" spans="1:27" x14ac:dyDescent="0.2">
      <c r="A8" s="10"/>
      <c r="B8" s="10"/>
      <c r="K8" s="10" t="s">
        <v>7</v>
      </c>
      <c r="L8" s="11">
        <f>SUMIF($F$6:$F$1048576, "*"&amp;K8&amp;"*", $H$6:$H$1048576)</f>
        <v>0</v>
      </c>
      <c r="AA8" s="1" t="s">
        <v>12</v>
      </c>
    </row>
    <row r="9" spans="1:27" x14ac:dyDescent="0.2">
      <c r="A9" s="10"/>
      <c r="B9" s="10"/>
      <c r="K9" s="10" t="s">
        <v>14</v>
      </c>
      <c r="L9" s="11">
        <f t="shared" ref="L9:L14" si="0">SUMIF($F$6:$F$1048576, "*"&amp;K9&amp;"*", $H$6:$H$1048576)</f>
        <v>0</v>
      </c>
    </row>
    <row r="10" spans="1:27" x14ac:dyDescent="0.2">
      <c r="A10" s="10"/>
      <c r="B10" s="10"/>
      <c r="K10" s="10" t="s">
        <v>2</v>
      </c>
      <c r="L10" s="11">
        <f t="shared" si="0"/>
        <v>0</v>
      </c>
    </row>
    <row r="11" spans="1:27" x14ac:dyDescent="0.2">
      <c r="A11" s="10"/>
      <c r="B11" s="10"/>
      <c r="K11" s="10" t="s">
        <v>4</v>
      </c>
      <c r="L11" s="11">
        <f t="shared" si="0"/>
        <v>0</v>
      </c>
    </row>
    <row r="12" spans="1:27" x14ac:dyDescent="0.2">
      <c r="A12" s="10"/>
      <c r="B12" s="10"/>
      <c r="K12" s="10" t="s">
        <v>10</v>
      </c>
      <c r="L12" s="11">
        <f t="shared" si="0"/>
        <v>0</v>
      </c>
    </row>
    <row r="13" spans="1:27" x14ac:dyDescent="0.2">
      <c r="A13" s="10"/>
      <c r="B13" s="10"/>
      <c r="K13" s="10" t="s">
        <v>11</v>
      </c>
      <c r="L13" s="11">
        <f t="shared" si="0"/>
        <v>0</v>
      </c>
    </row>
    <row r="14" spans="1:27" x14ac:dyDescent="0.2">
      <c r="A14" s="10"/>
      <c r="B14" s="10"/>
      <c r="K14" s="10" t="s">
        <v>12</v>
      </c>
      <c r="L14" s="11">
        <f t="shared" si="0"/>
        <v>0</v>
      </c>
    </row>
  </sheetData>
  <mergeCells count="2">
    <mergeCell ref="A1:B1"/>
    <mergeCell ref="D1:I1"/>
  </mergeCells>
  <dataValidations count="2">
    <dataValidation type="list" allowBlank="1" showInputMessage="1" showErrorMessage="1" sqref="D3" xr:uid="{D34F9F2D-E71D-1845-8941-01B54402C019}">
      <formula1>AA2:AA8</formula1>
    </dataValidation>
    <dataValidation type="list" allowBlank="1" showInputMessage="1" showErrorMessage="1" sqref="AA2:AA8" xr:uid="{4AFBF799-A3C2-774D-B8B1-A955F60EB0C2}">
      <formula1>$AA$2:$AA$8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ExpenseInput">
                <anchor>
                  <from>
                    <xdr:col>2</xdr:col>
                    <xdr:colOff>1562100</xdr:colOff>
                    <xdr:row>3</xdr:row>
                    <xdr:rowOff>38100</xdr:rowOff>
                  </from>
                  <to>
                    <xdr:col>3</xdr:col>
                    <xdr:colOff>1905000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431A0-72DD-7149-BABE-26D0787AE8DB}">
  <sheetPr codeName="Sheet5"/>
  <dimension ref="A1:AA14"/>
  <sheetViews>
    <sheetView topLeftCell="F1" workbookViewId="0">
      <selection activeCell="I6" sqref="I6"/>
    </sheetView>
  </sheetViews>
  <sheetFormatPr baseColWidth="10" defaultRowHeight="18" x14ac:dyDescent="0.2"/>
  <cols>
    <col min="1" max="2" width="16" style="8" customWidth="1"/>
    <col min="3" max="3" width="20.6640625" style="1" customWidth="1"/>
    <col min="4" max="4" width="25.1640625" style="1" customWidth="1"/>
    <col min="5" max="5" width="10.83203125" style="1"/>
    <col min="6" max="6" width="22.6640625" style="18" customWidth="1"/>
    <col min="7" max="7" width="21.83203125" style="18" bestFit="1" customWidth="1"/>
    <col min="8" max="8" width="13.1640625" style="19" customWidth="1"/>
    <col min="9" max="9" width="11.1640625" style="18" bestFit="1" customWidth="1"/>
    <col min="10" max="10" width="10.83203125" style="1"/>
    <col min="11" max="12" width="28" style="1" bestFit="1" customWidth="1"/>
    <col min="13" max="16384" width="10.83203125" style="1"/>
  </cols>
  <sheetData>
    <row r="1" spans="1:27" ht="46" customHeight="1" x14ac:dyDescent="0.2">
      <c r="A1" s="27" t="s">
        <v>3</v>
      </c>
      <c r="B1" s="27"/>
      <c r="D1" s="27" t="s">
        <v>1</v>
      </c>
      <c r="E1" s="27"/>
      <c r="F1" s="27"/>
      <c r="G1" s="27"/>
      <c r="H1" s="27"/>
      <c r="I1" s="27"/>
      <c r="AA1" s="1" t="s">
        <v>9</v>
      </c>
    </row>
    <row r="2" spans="1:27" ht="19" thickBot="1" x14ac:dyDescent="0.25">
      <c r="A2" s="21" t="s">
        <v>20</v>
      </c>
      <c r="D2" s="2" t="s">
        <v>16</v>
      </c>
      <c r="F2" s="1"/>
      <c r="G2" s="1"/>
      <c r="H2" s="1"/>
      <c r="I2" s="1"/>
      <c r="AA2" s="1" t="s">
        <v>7</v>
      </c>
    </row>
    <row r="3" spans="1:27" ht="19" thickBot="1" x14ac:dyDescent="0.25">
      <c r="C3" s="3"/>
      <c r="D3" s="4" t="s">
        <v>11</v>
      </c>
      <c r="F3" s="1"/>
      <c r="G3" s="1"/>
      <c r="H3" s="1"/>
      <c r="I3" s="1"/>
      <c r="AA3" s="1" t="s">
        <v>14</v>
      </c>
    </row>
    <row r="4" spans="1:27" x14ac:dyDescent="0.2">
      <c r="A4" s="9" t="s">
        <v>18</v>
      </c>
      <c r="B4" s="9" t="s">
        <v>19</v>
      </c>
      <c r="E4" s="6"/>
      <c r="F4" s="7" t="s">
        <v>5</v>
      </c>
      <c r="G4" s="7" t="s">
        <v>6</v>
      </c>
      <c r="H4" s="13" t="s">
        <v>13</v>
      </c>
      <c r="I4" s="7" t="s">
        <v>8</v>
      </c>
      <c r="K4" s="7" t="s">
        <v>24</v>
      </c>
      <c r="L4" s="5" t="s">
        <v>22</v>
      </c>
      <c r="AA4" s="1" t="s">
        <v>2</v>
      </c>
    </row>
    <row r="5" spans="1:27" ht="19" x14ac:dyDescent="0.2">
      <c r="A5" s="10"/>
      <c r="B5" s="10"/>
      <c r="E5" s="14" t="s">
        <v>17</v>
      </c>
      <c r="F5" s="15" t="s">
        <v>7</v>
      </c>
      <c r="G5" s="15" t="s">
        <v>15</v>
      </c>
      <c r="H5" s="16">
        <v>5</v>
      </c>
      <c r="I5" s="17">
        <v>44256</v>
      </c>
      <c r="K5" s="11">
        <f>SUM(B5:B14)</f>
        <v>0</v>
      </c>
      <c r="L5" s="12">
        <f>SUM(H6:H1048576)</f>
        <v>0</v>
      </c>
      <c r="AA5" s="1" t="s">
        <v>4</v>
      </c>
    </row>
    <row r="6" spans="1:27" x14ac:dyDescent="0.2">
      <c r="A6" s="10"/>
      <c r="B6" s="10"/>
      <c r="I6" s="20"/>
      <c r="AA6" s="1" t="s">
        <v>10</v>
      </c>
    </row>
    <row r="7" spans="1:27" x14ac:dyDescent="0.2">
      <c r="A7" s="10"/>
      <c r="B7" s="10"/>
      <c r="I7" s="20"/>
      <c r="K7" s="9" t="s">
        <v>5</v>
      </c>
      <c r="L7" s="9" t="s">
        <v>23</v>
      </c>
      <c r="AA7" s="1" t="s">
        <v>11</v>
      </c>
    </row>
    <row r="8" spans="1:27" x14ac:dyDescent="0.2">
      <c r="A8" s="10"/>
      <c r="B8" s="10"/>
      <c r="K8" s="10" t="s">
        <v>7</v>
      </c>
      <c r="L8" s="11">
        <f>SUMIF($F$6:$F$1048576, "*"&amp;K8&amp;"*", $H$6:$H$1048576)</f>
        <v>0</v>
      </c>
      <c r="AA8" s="1" t="s">
        <v>12</v>
      </c>
    </row>
    <row r="9" spans="1:27" x14ac:dyDescent="0.2">
      <c r="A9" s="10"/>
      <c r="B9" s="10"/>
      <c r="K9" s="10" t="s">
        <v>14</v>
      </c>
      <c r="L9" s="11">
        <f t="shared" ref="L9:L14" si="0">SUMIF($F$6:$F$1048576, "*"&amp;K9&amp;"*", $H$6:$H$1048576)</f>
        <v>0</v>
      </c>
    </row>
    <row r="10" spans="1:27" x14ac:dyDescent="0.2">
      <c r="A10" s="10"/>
      <c r="B10" s="10"/>
      <c r="K10" s="10" t="s">
        <v>2</v>
      </c>
      <c r="L10" s="11">
        <f t="shared" si="0"/>
        <v>0</v>
      </c>
    </row>
    <row r="11" spans="1:27" x14ac:dyDescent="0.2">
      <c r="A11" s="10"/>
      <c r="B11" s="10"/>
      <c r="K11" s="10" t="s">
        <v>4</v>
      </c>
      <c r="L11" s="11">
        <f t="shared" si="0"/>
        <v>0</v>
      </c>
    </row>
    <row r="12" spans="1:27" x14ac:dyDescent="0.2">
      <c r="A12" s="10"/>
      <c r="B12" s="10"/>
      <c r="K12" s="10" t="s">
        <v>10</v>
      </c>
      <c r="L12" s="11">
        <f t="shared" si="0"/>
        <v>0</v>
      </c>
    </row>
    <row r="13" spans="1:27" x14ac:dyDescent="0.2">
      <c r="A13" s="10"/>
      <c r="B13" s="10"/>
      <c r="K13" s="10" t="s">
        <v>11</v>
      </c>
      <c r="L13" s="11">
        <f t="shared" si="0"/>
        <v>0</v>
      </c>
    </row>
    <row r="14" spans="1:27" x14ac:dyDescent="0.2">
      <c r="A14" s="10"/>
      <c r="B14" s="10"/>
      <c r="K14" s="10" t="s">
        <v>12</v>
      </c>
      <c r="L14" s="11">
        <f t="shared" si="0"/>
        <v>0</v>
      </c>
    </row>
  </sheetData>
  <mergeCells count="2">
    <mergeCell ref="A1:B1"/>
    <mergeCell ref="D1:I1"/>
  </mergeCells>
  <dataValidations count="2">
    <dataValidation type="list" allowBlank="1" showInputMessage="1" showErrorMessage="1" sqref="AA2:AA8" xr:uid="{8047DC10-3E03-244E-8496-3981F0BAC054}">
      <formula1>$AA$2:$AA$8</formula1>
    </dataValidation>
    <dataValidation type="list" allowBlank="1" showInputMessage="1" showErrorMessage="1" sqref="D3" xr:uid="{3D8C0522-F998-044D-89B9-28ECBE3BB73F}">
      <formula1>AA2:AA8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ExpenseInput">
                <anchor>
                  <from>
                    <xdr:col>2</xdr:col>
                    <xdr:colOff>1562100</xdr:colOff>
                    <xdr:row>3</xdr:row>
                    <xdr:rowOff>38100</xdr:rowOff>
                  </from>
                  <to>
                    <xdr:col>3</xdr:col>
                    <xdr:colOff>1905000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38D52-045A-3F45-A91B-D8F6F415A77F}">
  <sheetPr codeName="Sheet6"/>
  <dimension ref="A1:AA14"/>
  <sheetViews>
    <sheetView topLeftCell="F1" workbookViewId="0">
      <selection activeCell="I6" sqref="I6"/>
    </sheetView>
  </sheetViews>
  <sheetFormatPr baseColWidth="10" defaultRowHeight="18" x14ac:dyDescent="0.2"/>
  <cols>
    <col min="1" max="2" width="16" style="8" customWidth="1"/>
    <col min="3" max="3" width="20.6640625" style="1" customWidth="1"/>
    <col min="4" max="4" width="25.1640625" style="1" customWidth="1"/>
    <col min="5" max="5" width="10.83203125" style="1"/>
    <col min="6" max="6" width="22.6640625" style="18" customWidth="1"/>
    <col min="7" max="7" width="21.83203125" style="18" bestFit="1" customWidth="1"/>
    <col min="8" max="8" width="13.1640625" style="19" customWidth="1"/>
    <col min="9" max="9" width="11.1640625" style="18" bestFit="1" customWidth="1"/>
    <col min="10" max="10" width="10.83203125" style="1"/>
    <col min="11" max="12" width="28" style="1" bestFit="1" customWidth="1"/>
    <col min="13" max="16384" width="10.83203125" style="1"/>
  </cols>
  <sheetData>
    <row r="1" spans="1:27" ht="46" customHeight="1" x14ac:dyDescent="0.2">
      <c r="A1" s="27" t="s">
        <v>3</v>
      </c>
      <c r="B1" s="27"/>
      <c r="D1" s="27" t="s">
        <v>1</v>
      </c>
      <c r="E1" s="27"/>
      <c r="F1" s="27"/>
      <c r="G1" s="27"/>
      <c r="H1" s="27"/>
      <c r="I1" s="27"/>
      <c r="AA1" s="1" t="s">
        <v>9</v>
      </c>
    </row>
    <row r="2" spans="1:27" ht="19" thickBot="1" x14ac:dyDescent="0.25">
      <c r="A2" s="21" t="s">
        <v>20</v>
      </c>
      <c r="D2" s="2" t="s">
        <v>16</v>
      </c>
      <c r="F2" s="1"/>
      <c r="G2" s="1"/>
      <c r="H2" s="1"/>
      <c r="I2" s="1"/>
      <c r="AA2" s="1" t="s">
        <v>7</v>
      </c>
    </row>
    <row r="3" spans="1:27" ht="19" thickBot="1" x14ac:dyDescent="0.25">
      <c r="C3" s="3"/>
      <c r="D3" s="4" t="s">
        <v>11</v>
      </c>
      <c r="F3" s="1"/>
      <c r="G3" s="1"/>
      <c r="H3" s="1"/>
      <c r="I3" s="1"/>
      <c r="AA3" s="1" t="s">
        <v>14</v>
      </c>
    </row>
    <row r="4" spans="1:27" x14ac:dyDescent="0.2">
      <c r="A4" s="9" t="s">
        <v>18</v>
      </c>
      <c r="B4" s="9" t="s">
        <v>19</v>
      </c>
      <c r="E4" s="6"/>
      <c r="F4" s="7" t="s">
        <v>5</v>
      </c>
      <c r="G4" s="7" t="s">
        <v>6</v>
      </c>
      <c r="H4" s="13" t="s">
        <v>13</v>
      </c>
      <c r="I4" s="7" t="s">
        <v>8</v>
      </c>
      <c r="K4" s="7" t="s">
        <v>24</v>
      </c>
      <c r="L4" s="5" t="s">
        <v>22</v>
      </c>
      <c r="AA4" s="1" t="s">
        <v>2</v>
      </c>
    </row>
    <row r="5" spans="1:27" ht="19" x14ac:dyDescent="0.2">
      <c r="A5" s="10"/>
      <c r="B5" s="10"/>
      <c r="E5" s="14" t="s">
        <v>17</v>
      </c>
      <c r="F5" s="15" t="s">
        <v>7</v>
      </c>
      <c r="G5" s="15" t="s">
        <v>15</v>
      </c>
      <c r="H5" s="16">
        <v>5</v>
      </c>
      <c r="I5" s="17">
        <v>44287</v>
      </c>
      <c r="K5" s="11">
        <f>SUM(B5:B14)</f>
        <v>0</v>
      </c>
      <c r="L5" s="12">
        <f>SUM(H6:H1048576)</f>
        <v>0</v>
      </c>
      <c r="AA5" s="1" t="s">
        <v>4</v>
      </c>
    </row>
    <row r="6" spans="1:27" x14ac:dyDescent="0.2">
      <c r="A6" s="10"/>
      <c r="B6" s="10"/>
      <c r="I6" s="20"/>
      <c r="AA6" s="1" t="s">
        <v>10</v>
      </c>
    </row>
    <row r="7" spans="1:27" x14ac:dyDescent="0.2">
      <c r="A7" s="10"/>
      <c r="B7" s="10"/>
      <c r="I7" s="20"/>
      <c r="K7" s="9" t="s">
        <v>5</v>
      </c>
      <c r="L7" s="9" t="s">
        <v>23</v>
      </c>
      <c r="AA7" s="1" t="s">
        <v>11</v>
      </c>
    </row>
    <row r="8" spans="1:27" x14ac:dyDescent="0.2">
      <c r="A8" s="10"/>
      <c r="B8" s="10"/>
      <c r="K8" s="10" t="s">
        <v>7</v>
      </c>
      <c r="L8" s="11">
        <f>SUMIF($F$6:$F$1048576, "*"&amp;K8&amp;"*", $H$6:$H$1048576)</f>
        <v>0</v>
      </c>
      <c r="AA8" s="1" t="s">
        <v>12</v>
      </c>
    </row>
    <row r="9" spans="1:27" x14ac:dyDescent="0.2">
      <c r="A9" s="10"/>
      <c r="B9" s="10"/>
      <c r="K9" s="10" t="s">
        <v>14</v>
      </c>
      <c r="L9" s="11">
        <f t="shared" ref="L9:L14" si="0">SUMIF($F$6:$F$1048576, "*"&amp;K9&amp;"*", $H$6:$H$1048576)</f>
        <v>0</v>
      </c>
    </row>
    <row r="10" spans="1:27" x14ac:dyDescent="0.2">
      <c r="A10" s="10"/>
      <c r="B10" s="10"/>
      <c r="K10" s="10" t="s">
        <v>2</v>
      </c>
      <c r="L10" s="11">
        <f t="shared" si="0"/>
        <v>0</v>
      </c>
    </row>
    <row r="11" spans="1:27" x14ac:dyDescent="0.2">
      <c r="A11" s="10"/>
      <c r="B11" s="10"/>
      <c r="K11" s="10" t="s">
        <v>4</v>
      </c>
      <c r="L11" s="11">
        <f t="shared" si="0"/>
        <v>0</v>
      </c>
    </row>
    <row r="12" spans="1:27" x14ac:dyDescent="0.2">
      <c r="A12" s="10"/>
      <c r="B12" s="10"/>
      <c r="K12" s="10" t="s">
        <v>10</v>
      </c>
      <c r="L12" s="11">
        <f t="shared" si="0"/>
        <v>0</v>
      </c>
    </row>
    <row r="13" spans="1:27" x14ac:dyDescent="0.2">
      <c r="A13" s="10"/>
      <c r="B13" s="10"/>
      <c r="K13" s="10" t="s">
        <v>11</v>
      </c>
      <c r="L13" s="11">
        <f t="shared" si="0"/>
        <v>0</v>
      </c>
    </row>
    <row r="14" spans="1:27" x14ac:dyDescent="0.2">
      <c r="A14" s="10"/>
      <c r="B14" s="10"/>
      <c r="K14" s="10" t="s">
        <v>12</v>
      </c>
      <c r="L14" s="11">
        <f t="shared" si="0"/>
        <v>0</v>
      </c>
    </row>
  </sheetData>
  <mergeCells count="2">
    <mergeCell ref="A1:B1"/>
    <mergeCell ref="D1:I1"/>
  </mergeCells>
  <dataValidations count="2">
    <dataValidation type="list" allowBlank="1" showInputMessage="1" showErrorMessage="1" sqref="D3" xr:uid="{1D71B729-1785-444A-A80A-A16AA0EEE1CB}">
      <formula1>AA2:AA8</formula1>
    </dataValidation>
    <dataValidation type="list" allowBlank="1" showInputMessage="1" showErrorMessage="1" sqref="AA2:AA8" xr:uid="{6557114F-B5D9-6140-93A7-9F89B3B733AD}">
      <formula1>$AA$2:$AA$8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ExpenseInput">
                <anchor>
                  <from>
                    <xdr:col>2</xdr:col>
                    <xdr:colOff>1562100</xdr:colOff>
                    <xdr:row>3</xdr:row>
                    <xdr:rowOff>38100</xdr:rowOff>
                  </from>
                  <to>
                    <xdr:col>3</xdr:col>
                    <xdr:colOff>1905000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01EF9-631F-0E4F-AC04-5B2DD641D746}">
  <sheetPr codeName="Sheet7"/>
  <dimension ref="A1:AA14"/>
  <sheetViews>
    <sheetView topLeftCell="F1" workbookViewId="0">
      <selection activeCell="I6" sqref="I6"/>
    </sheetView>
  </sheetViews>
  <sheetFormatPr baseColWidth="10" defaultRowHeight="18" x14ac:dyDescent="0.2"/>
  <cols>
    <col min="1" max="2" width="16" style="8" customWidth="1"/>
    <col min="3" max="3" width="20.6640625" style="1" customWidth="1"/>
    <col min="4" max="4" width="25.1640625" style="1" customWidth="1"/>
    <col min="5" max="5" width="10.83203125" style="1"/>
    <col min="6" max="6" width="22.6640625" style="18" customWidth="1"/>
    <col min="7" max="7" width="21.83203125" style="18" bestFit="1" customWidth="1"/>
    <col min="8" max="8" width="13.1640625" style="19" customWidth="1"/>
    <col min="9" max="9" width="11.1640625" style="18" bestFit="1" customWidth="1"/>
    <col min="10" max="10" width="10.83203125" style="1"/>
    <col min="11" max="12" width="28" style="1" bestFit="1" customWidth="1"/>
    <col min="13" max="16384" width="10.83203125" style="1"/>
  </cols>
  <sheetData>
    <row r="1" spans="1:27" ht="46" customHeight="1" x14ac:dyDescent="0.2">
      <c r="A1" s="27" t="s">
        <v>3</v>
      </c>
      <c r="B1" s="27"/>
      <c r="D1" s="27" t="s">
        <v>1</v>
      </c>
      <c r="E1" s="27"/>
      <c r="F1" s="27"/>
      <c r="G1" s="27"/>
      <c r="H1" s="27"/>
      <c r="I1" s="27"/>
      <c r="AA1" s="1" t="s">
        <v>9</v>
      </c>
    </row>
    <row r="2" spans="1:27" ht="19" thickBot="1" x14ac:dyDescent="0.25">
      <c r="A2" s="21" t="s">
        <v>20</v>
      </c>
      <c r="D2" s="2" t="s">
        <v>16</v>
      </c>
      <c r="F2" s="1"/>
      <c r="G2" s="1"/>
      <c r="H2" s="1"/>
      <c r="I2" s="1"/>
      <c r="AA2" s="1" t="s">
        <v>7</v>
      </c>
    </row>
    <row r="3" spans="1:27" ht="19" thickBot="1" x14ac:dyDescent="0.25">
      <c r="C3" s="3"/>
      <c r="D3" s="4" t="s">
        <v>11</v>
      </c>
      <c r="F3" s="1"/>
      <c r="G3" s="1"/>
      <c r="H3" s="1"/>
      <c r="I3" s="1"/>
      <c r="AA3" s="1" t="s">
        <v>14</v>
      </c>
    </row>
    <row r="4" spans="1:27" x14ac:dyDescent="0.2">
      <c r="A4" s="9" t="s">
        <v>18</v>
      </c>
      <c r="B4" s="9" t="s">
        <v>19</v>
      </c>
      <c r="E4" s="6"/>
      <c r="F4" s="7" t="s">
        <v>5</v>
      </c>
      <c r="G4" s="7" t="s">
        <v>6</v>
      </c>
      <c r="H4" s="13" t="s">
        <v>13</v>
      </c>
      <c r="I4" s="7" t="s">
        <v>8</v>
      </c>
      <c r="K4" s="7" t="s">
        <v>24</v>
      </c>
      <c r="L4" s="5" t="s">
        <v>22</v>
      </c>
      <c r="AA4" s="1" t="s">
        <v>2</v>
      </c>
    </row>
    <row r="5" spans="1:27" ht="19" x14ac:dyDescent="0.2">
      <c r="A5" s="10"/>
      <c r="B5" s="10"/>
      <c r="E5" s="14" t="s">
        <v>17</v>
      </c>
      <c r="F5" s="15" t="s">
        <v>7</v>
      </c>
      <c r="G5" s="15" t="s">
        <v>15</v>
      </c>
      <c r="H5" s="16">
        <v>5</v>
      </c>
      <c r="I5" s="17">
        <v>44317</v>
      </c>
      <c r="K5" s="11">
        <f>SUM(B5:B14)</f>
        <v>0</v>
      </c>
      <c r="L5" s="12">
        <f>SUM(H6:H1048576)</f>
        <v>0</v>
      </c>
      <c r="AA5" s="1" t="s">
        <v>4</v>
      </c>
    </row>
    <row r="6" spans="1:27" x14ac:dyDescent="0.2">
      <c r="A6" s="10"/>
      <c r="B6" s="10"/>
      <c r="I6" s="20"/>
      <c r="AA6" s="1" t="s">
        <v>10</v>
      </c>
    </row>
    <row r="7" spans="1:27" x14ac:dyDescent="0.2">
      <c r="A7" s="10"/>
      <c r="B7" s="10"/>
      <c r="I7" s="20"/>
      <c r="K7" s="9" t="s">
        <v>5</v>
      </c>
      <c r="L7" s="9" t="s">
        <v>23</v>
      </c>
      <c r="AA7" s="1" t="s">
        <v>11</v>
      </c>
    </row>
    <row r="8" spans="1:27" x14ac:dyDescent="0.2">
      <c r="A8" s="10"/>
      <c r="B8" s="10"/>
      <c r="K8" s="10" t="s">
        <v>7</v>
      </c>
      <c r="L8" s="11">
        <f>SUMIF($F$6:$F$1048576, "*"&amp;K8&amp;"*", $H$6:$H$1048576)</f>
        <v>0</v>
      </c>
      <c r="AA8" s="1" t="s">
        <v>12</v>
      </c>
    </row>
    <row r="9" spans="1:27" x14ac:dyDescent="0.2">
      <c r="A9" s="10"/>
      <c r="B9" s="10"/>
      <c r="K9" s="10" t="s">
        <v>14</v>
      </c>
      <c r="L9" s="11">
        <f t="shared" ref="L9:L14" si="0">SUMIF($F$6:$F$1048576, "*"&amp;K9&amp;"*", $H$6:$H$1048576)</f>
        <v>0</v>
      </c>
    </row>
    <row r="10" spans="1:27" x14ac:dyDescent="0.2">
      <c r="A10" s="10"/>
      <c r="B10" s="10"/>
      <c r="K10" s="10" t="s">
        <v>2</v>
      </c>
      <c r="L10" s="11">
        <f t="shared" si="0"/>
        <v>0</v>
      </c>
    </row>
    <row r="11" spans="1:27" x14ac:dyDescent="0.2">
      <c r="A11" s="10"/>
      <c r="B11" s="10"/>
      <c r="K11" s="10" t="s">
        <v>4</v>
      </c>
      <c r="L11" s="11">
        <f t="shared" si="0"/>
        <v>0</v>
      </c>
    </row>
    <row r="12" spans="1:27" x14ac:dyDescent="0.2">
      <c r="A12" s="10"/>
      <c r="B12" s="10"/>
      <c r="K12" s="10" t="s">
        <v>10</v>
      </c>
      <c r="L12" s="11">
        <f t="shared" si="0"/>
        <v>0</v>
      </c>
    </row>
    <row r="13" spans="1:27" x14ac:dyDescent="0.2">
      <c r="A13" s="10"/>
      <c r="B13" s="10"/>
      <c r="K13" s="10" t="s">
        <v>11</v>
      </c>
      <c r="L13" s="11">
        <f t="shared" si="0"/>
        <v>0</v>
      </c>
    </row>
    <row r="14" spans="1:27" x14ac:dyDescent="0.2">
      <c r="A14" s="10"/>
      <c r="B14" s="10"/>
      <c r="K14" s="10" t="s">
        <v>12</v>
      </c>
      <c r="L14" s="11">
        <f t="shared" si="0"/>
        <v>0</v>
      </c>
    </row>
  </sheetData>
  <mergeCells count="2">
    <mergeCell ref="A1:B1"/>
    <mergeCell ref="D1:I1"/>
  </mergeCells>
  <dataValidations count="2">
    <dataValidation type="list" allowBlank="1" showInputMessage="1" showErrorMessage="1" sqref="AA2:AA8" xr:uid="{C087A2AD-F599-E040-A520-19A6E4564357}">
      <formula1>$AA$2:$AA$8</formula1>
    </dataValidation>
    <dataValidation type="list" allowBlank="1" showInputMessage="1" showErrorMessage="1" sqref="D3" xr:uid="{695C9629-801E-1A4C-B16C-D5C85989FEA3}">
      <formula1>AA2:AA8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ExpenseInput">
                <anchor>
                  <from>
                    <xdr:col>2</xdr:col>
                    <xdr:colOff>1562100</xdr:colOff>
                    <xdr:row>3</xdr:row>
                    <xdr:rowOff>38100</xdr:rowOff>
                  </from>
                  <to>
                    <xdr:col>3</xdr:col>
                    <xdr:colOff>1905000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CA3A9-30A8-5645-A77E-0093031FDE93}">
  <sheetPr codeName="Sheet8"/>
  <dimension ref="A1:AA14"/>
  <sheetViews>
    <sheetView topLeftCell="D1" workbookViewId="0">
      <selection activeCell="I6" sqref="I6"/>
    </sheetView>
  </sheetViews>
  <sheetFormatPr baseColWidth="10" defaultRowHeight="18" x14ac:dyDescent="0.2"/>
  <cols>
    <col min="1" max="2" width="16" style="8" customWidth="1"/>
    <col min="3" max="3" width="20.6640625" style="1" customWidth="1"/>
    <col min="4" max="4" width="25.1640625" style="1" customWidth="1"/>
    <col min="5" max="5" width="10.83203125" style="1"/>
    <col min="6" max="6" width="22.6640625" style="18" customWidth="1"/>
    <col min="7" max="7" width="21.83203125" style="18" bestFit="1" customWidth="1"/>
    <col min="8" max="8" width="13.1640625" style="19" customWidth="1"/>
    <col min="9" max="9" width="11.1640625" style="18" bestFit="1" customWidth="1"/>
    <col min="10" max="10" width="10.83203125" style="1"/>
    <col min="11" max="12" width="28" style="1" bestFit="1" customWidth="1"/>
    <col min="13" max="16384" width="10.83203125" style="1"/>
  </cols>
  <sheetData>
    <row r="1" spans="1:27" ht="46" customHeight="1" x14ac:dyDescent="0.2">
      <c r="A1" s="27" t="s">
        <v>3</v>
      </c>
      <c r="B1" s="27"/>
      <c r="D1" s="27" t="s">
        <v>1</v>
      </c>
      <c r="E1" s="27"/>
      <c r="F1" s="27"/>
      <c r="G1" s="27"/>
      <c r="H1" s="27"/>
      <c r="I1" s="27"/>
      <c r="AA1" s="1" t="s">
        <v>9</v>
      </c>
    </row>
    <row r="2" spans="1:27" ht="19" thickBot="1" x14ac:dyDescent="0.25">
      <c r="A2" s="21" t="s">
        <v>20</v>
      </c>
      <c r="D2" s="2" t="s">
        <v>16</v>
      </c>
      <c r="F2" s="1"/>
      <c r="G2" s="1"/>
      <c r="H2" s="1"/>
      <c r="I2" s="1"/>
      <c r="AA2" s="1" t="s">
        <v>7</v>
      </c>
    </row>
    <row r="3" spans="1:27" ht="19" thickBot="1" x14ac:dyDescent="0.25">
      <c r="C3" s="3"/>
      <c r="D3" s="4" t="s">
        <v>11</v>
      </c>
      <c r="F3" s="1"/>
      <c r="G3" s="1"/>
      <c r="H3" s="1"/>
      <c r="I3" s="1"/>
      <c r="AA3" s="1" t="s">
        <v>14</v>
      </c>
    </row>
    <row r="4" spans="1:27" x14ac:dyDescent="0.2">
      <c r="A4" s="9" t="s">
        <v>18</v>
      </c>
      <c r="B4" s="9" t="s">
        <v>19</v>
      </c>
      <c r="E4" s="6"/>
      <c r="F4" s="7" t="s">
        <v>5</v>
      </c>
      <c r="G4" s="7" t="s">
        <v>6</v>
      </c>
      <c r="H4" s="13" t="s">
        <v>13</v>
      </c>
      <c r="I4" s="7" t="s">
        <v>8</v>
      </c>
      <c r="K4" s="7" t="s">
        <v>24</v>
      </c>
      <c r="L4" s="5" t="s">
        <v>22</v>
      </c>
      <c r="AA4" s="1" t="s">
        <v>2</v>
      </c>
    </row>
    <row r="5" spans="1:27" ht="19" x14ac:dyDescent="0.2">
      <c r="A5" s="10"/>
      <c r="B5" s="10"/>
      <c r="E5" s="14" t="s">
        <v>17</v>
      </c>
      <c r="F5" s="15" t="s">
        <v>7</v>
      </c>
      <c r="G5" s="15" t="s">
        <v>15</v>
      </c>
      <c r="H5" s="16">
        <v>5</v>
      </c>
      <c r="I5" s="17">
        <v>44348</v>
      </c>
      <c r="K5" s="11">
        <f>SUM(B5:B14)</f>
        <v>0</v>
      </c>
      <c r="L5" s="12">
        <f>SUM(H6:H1048576)</f>
        <v>0</v>
      </c>
      <c r="AA5" s="1" t="s">
        <v>4</v>
      </c>
    </row>
    <row r="6" spans="1:27" x14ac:dyDescent="0.2">
      <c r="A6" s="10"/>
      <c r="B6" s="10"/>
      <c r="I6" s="20"/>
      <c r="AA6" s="1" t="s">
        <v>10</v>
      </c>
    </row>
    <row r="7" spans="1:27" x14ac:dyDescent="0.2">
      <c r="A7" s="10"/>
      <c r="B7" s="10"/>
      <c r="I7" s="20"/>
      <c r="K7" s="9" t="s">
        <v>5</v>
      </c>
      <c r="L7" s="9" t="s">
        <v>23</v>
      </c>
      <c r="AA7" s="1" t="s">
        <v>11</v>
      </c>
    </row>
    <row r="8" spans="1:27" x14ac:dyDescent="0.2">
      <c r="A8" s="10"/>
      <c r="B8" s="10"/>
      <c r="K8" s="10" t="s">
        <v>7</v>
      </c>
      <c r="L8" s="11">
        <f>SUMIF($F$6:$F$1048576, "*"&amp;K8&amp;"*", $H$6:$H$1048576)</f>
        <v>0</v>
      </c>
      <c r="AA8" s="1" t="s">
        <v>12</v>
      </c>
    </row>
    <row r="9" spans="1:27" x14ac:dyDescent="0.2">
      <c r="A9" s="10"/>
      <c r="B9" s="10"/>
      <c r="K9" s="10" t="s">
        <v>14</v>
      </c>
      <c r="L9" s="11">
        <f t="shared" ref="L9:L14" si="0">SUMIF($F$6:$F$1048576, "*"&amp;K9&amp;"*", $H$6:$H$1048576)</f>
        <v>0</v>
      </c>
    </row>
    <row r="10" spans="1:27" x14ac:dyDescent="0.2">
      <c r="A10" s="10"/>
      <c r="B10" s="10"/>
      <c r="K10" s="10" t="s">
        <v>2</v>
      </c>
      <c r="L10" s="11">
        <f t="shared" si="0"/>
        <v>0</v>
      </c>
    </row>
    <row r="11" spans="1:27" x14ac:dyDescent="0.2">
      <c r="A11" s="10"/>
      <c r="B11" s="10"/>
      <c r="K11" s="10" t="s">
        <v>4</v>
      </c>
      <c r="L11" s="11">
        <f t="shared" si="0"/>
        <v>0</v>
      </c>
    </row>
    <row r="12" spans="1:27" x14ac:dyDescent="0.2">
      <c r="A12" s="10"/>
      <c r="B12" s="10"/>
      <c r="K12" s="10" t="s">
        <v>10</v>
      </c>
      <c r="L12" s="11">
        <f t="shared" si="0"/>
        <v>0</v>
      </c>
    </row>
    <row r="13" spans="1:27" x14ac:dyDescent="0.2">
      <c r="A13" s="10"/>
      <c r="B13" s="10"/>
      <c r="K13" s="10" t="s">
        <v>11</v>
      </c>
      <c r="L13" s="11">
        <f t="shared" si="0"/>
        <v>0</v>
      </c>
    </row>
    <row r="14" spans="1:27" x14ac:dyDescent="0.2">
      <c r="A14" s="10"/>
      <c r="B14" s="10"/>
      <c r="K14" s="10" t="s">
        <v>12</v>
      </c>
      <c r="L14" s="11">
        <f t="shared" si="0"/>
        <v>0</v>
      </c>
    </row>
  </sheetData>
  <mergeCells count="2">
    <mergeCell ref="A1:B1"/>
    <mergeCell ref="D1:I1"/>
  </mergeCells>
  <dataValidations count="2">
    <dataValidation type="list" allowBlank="1" showInputMessage="1" showErrorMessage="1" sqref="D3" xr:uid="{FDAA3EB5-39C7-AC42-AA8A-25D25EA5297C}">
      <formula1>AA2:AA8</formula1>
    </dataValidation>
    <dataValidation type="list" allowBlank="1" showInputMessage="1" showErrorMessage="1" sqref="AA2:AA8" xr:uid="{04AD8799-E6F4-B04B-B18B-8AC4A05F571E}">
      <formula1>$AA$2:$AA$8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ExpenseInput">
                <anchor>
                  <from>
                    <xdr:col>2</xdr:col>
                    <xdr:colOff>1562100</xdr:colOff>
                    <xdr:row>3</xdr:row>
                    <xdr:rowOff>38100</xdr:rowOff>
                  </from>
                  <to>
                    <xdr:col>3</xdr:col>
                    <xdr:colOff>1905000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EEFDD-4BB0-F745-A8BB-FCCDE159CFB0}">
  <sheetPr codeName="Sheet9"/>
  <dimension ref="A1:AA14"/>
  <sheetViews>
    <sheetView topLeftCell="F1" workbookViewId="0">
      <selection activeCell="I6" sqref="I6"/>
    </sheetView>
  </sheetViews>
  <sheetFormatPr baseColWidth="10" defaultRowHeight="18" x14ac:dyDescent="0.2"/>
  <cols>
    <col min="1" max="2" width="16" style="8" customWidth="1"/>
    <col min="3" max="3" width="20.6640625" style="1" customWidth="1"/>
    <col min="4" max="4" width="25.1640625" style="1" customWidth="1"/>
    <col min="5" max="5" width="10.83203125" style="1"/>
    <col min="6" max="6" width="22.6640625" style="18" customWidth="1"/>
    <col min="7" max="7" width="21.83203125" style="18" bestFit="1" customWidth="1"/>
    <col min="8" max="8" width="13.1640625" style="19" customWidth="1"/>
    <col min="9" max="9" width="11.1640625" style="18" bestFit="1" customWidth="1"/>
    <col min="10" max="10" width="10.83203125" style="1"/>
    <col min="11" max="12" width="28" style="1" bestFit="1" customWidth="1"/>
    <col min="13" max="16384" width="10.83203125" style="1"/>
  </cols>
  <sheetData>
    <row r="1" spans="1:27" ht="46" customHeight="1" x14ac:dyDescent="0.2">
      <c r="A1" s="27" t="s">
        <v>3</v>
      </c>
      <c r="B1" s="27"/>
      <c r="D1" s="27" t="s">
        <v>1</v>
      </c>
      <c r="E1" s="27"/>
      <c r="F1" s="27"/>
      <c r="G1" s="27"/>
      <c r="H1" s="27"/>
      <c r="I1" s="27"/>
      <c r="AA1" s="1" t="s">
        <v>9</v>
      </c>
    </row>
    <row r="2" spans="1:27" ht="19" thickBot="1" x14ac:dyDescent="0.25">
      <c r="A2" s="21" t="s">
        <v>20</v>
      </c>
      <c r="D2" s="2" t="s">
        <v>16</v>
      </c>
      <c r="F2" s="1"/>
      <c r="G2" s="1"/>
      <c r="H2" s="1"/>
      <c r="I2" s="1"/>
      <c r="AA2" s="1" t="s">
        <v>7</v>
      </c>
    </row>
    <row r="3" spans="1:27" ht="19" thickBot="1" x14ac:dyDescent="0.25">
      <c r="C3" s="3"/>
      <c r="D3" s="4" t="s">
        <v>11</v>
      </c>
      <c r="F3" s="1"/>
      <c r="G3" s="1"/>
      <c r="H3" s="1"/>
      <c r="I3" s="1"/>
      <c r="AA3" s="1" t="s">
        <v>14</v>
      </c>
    </row>
    <row r="4" spans="1:27" x14ac:dyDescent="0.2">
      <c r="A4" s="9" t="s">
        <v>18</v>
      </c>
      <c r="B4" s="9" t="s">
        <v>19</v>
      </c>
      <c r="E4" s="6"/>
      <c r="F4" s="7" t="s">
        <v>5</v>
      </c>
      <c r="G4" s="7" t="s">
        <v>6</v>
      </c>
      <c r="H4" s="13" t="s">
        <v>13</v>
      </c>
      <c r="I4" s="7" t="s">
        <v>8</v>
      </c>
      <c r="K4" s="7" t="s">
        <v>24</v>
      </c>
      <c r="L4" s="5" t="s">
        <v>22</v>
      </c>
      <c r="AA4" s="1" t="s">
        <v>2</v>
      </c>
    </row>
    <row r="5" spans="1:27" ht="19" x14ac:dyDescent="0.2">
      <c r="A5" s="10"/>
      <c r="B5" s="10"/>
      <c r="E5" s="14" t="s">
        <v>17</v>
      </c>
      <c r="F5" s="15" t="s">
        <v>7</v>
      </c>
      <c r="G5" s="15" t="s">
        <v>15</v>
      </c>
      <c r="H5" s="16">
        <v>5</v>
      </c>
      <c r="I5" s="17">
        <v>44378</v>
      </c>
      <c r="K5" s="11">
        <f>SUM(B5:B14)</f>
        <v>0</v>
      </c>
      <c r="L5" s="12">
        <f>SUM(H6:H1048576)</f>
        <v>0</v>
      </c>
      <c r="AA5" s="1" t="s">
        <v>4</v>
      </c>
    </row>
    <row r="6" spans="1:27" x14ac:dyDescent="0.2">
      <c r="A6" s="10"/>
      <c r="B6" s="10"/>
      <c r="I6" s="20"/>
      <c r="AA6" s="1" t="s">
        <v>10</v>
      </c>
    </row>
    <row r="7" spans="1:27" x14ac:dyDescent="0.2">
      <c r="A7" s="10"/>
      <c r="B7" s="10"/>
      <c r="I7" s="20"/>
      <c r="K7" s="9" t="s">
        <v>5</v>
      </c>
      <c r="L7" s="9" t="s">
        <v>23</v>
      </c>
      <c r="AA7" s="1" t="s">
        <v>11</v>
      </c>
    </row>
    <row r="8" spans="1:27" x14ac:dyDescent="0.2">
      <c r="A8" s="10"/>
      <c r="B8" s="10"/>
      <c r="K8" s="10" t="s">
        <v>7</v>
      </c>
      <c r="L8" s="11">
        <f>SUMIF($F$6:$F$1048576, "*"&amp;K8&amp;"*", $H$6:$H$1048576)</f>
        <v>0</v>
      </c>
      <c r="AA8" s="1" t="s">
        <v>12</v>
      </c>
    </row>
    <row r="9" spans="1:27" x14ac:dyDescent="0.2">
      <c r="A9" s="10"/>
      <c r="B9" s="10"/>
      <c r="K9" s="10" t="s">
        <v>14</v>
      </c>
      <c r="L9" s="11">
        <f t="shared" ref="L9:L14" si="0">SUMIF($F$6:$F$1048576, "*"&amp;K9&amp;"*", $H$6:$H$1048576)</f>
        <v>0</v>
      </c>
    </row>
    <row r="10" spans="1:27" x14ac:dyDescent="0.2">
      <c r="A10" s="10"/>
      <c r="B10" s="10"/>
      <c r="K10" s="10" t="s">
        <v>2</v>
      </c>
      <c r="L10" s="11">
        <f t="shared" si="0"/>
        <v>0</v>
      </c>
    </row>
    <row r="11" spans="1:27" x14ac:dyDescent="0.2">
      <c r="A11" s="10"/>
      <c r="B11" s="10"/>
      <c r="K11" s="10" t="s">
        <v>4</v>
      </c>
      <c r="L11" s="11">
        <f t="shared" si="0"/>
        <v>0</v>
      </c>
    </row>
    <row r="12" spans="1:27" x14ac:dyDescent="0.2">
      <c r="A12" s="10"/>
      <c r="B12" s="10"/>
      <c r="K12" s="10" t="s">
        <v>10</v>
      </c>
      <c r="L12" s="11">
        <f t="shared" si="0"/>
        <v>0</v>
      </c>
    </row>
    <row r="13" spans="1:27" x14ac:dyDescent="0.2">
      <c r="A13" s="10"/>
      <c r="B13" s="10"/>
      <c r="K13" s="10" t="s">
        <v>11</v>
      </c>
      <c r="L13" s="11">
        <f t="shared" si="0"/>
        <v>0</v>
      </c>
    </row>
    <row r="14" spans="1:27" x14ac:dyDescent="0.2">
      <c r="A14" s="10"/>
      <c r="B14" s="10"/>
      <c r="K14" s="10" t="s">
        <v>12</v>
      </c>
      <c r="L14" s="11">
        <f t="shared" si="0"/>
        <v>0</v>
      </c>
    </row>
  </sheetData>
  <mergeCells count="2">
    <mergeCell ref="A1:B1"/>
    <mergeCell ref="D1:I1"/>
  </mergeCells>
  <dataValidations count="2">
    <dataValidation type="list" allowBlank="1" showInputMessage="1" showErrorMessage="1" sqref="AA2:AA8" xr:uid="{A6DDA588-969B-414D-8006-44F784FB47CD}">
      <formula1>$AA$2:$AA$8</formula1>
    </dataValidation>
    <dataValidation type="list" allowBlank="1" showInputMessage="1" showErrorMessage="1" sqref="D3" xr:uid="{2A214C31-05A8-8F4F-832F-E67DBD9D8BED}">
      <formula1>AA2:AA8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ExpenseInput">
                <anchor>
                  <from>
                    <xdr:col>2</xdr:col>
                    <xdr:colOff>1562100</xdr:colOff>
                    <xdr:row>3</xdr:row>
                    <xdr:rowOff>38100</xdr:rowOff>
                  </from>
                  <to>
                    <xdr:col>3</xdr:col>
                    <xdr:colOff>1905000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C5E5D-3542-3641-ABAC-5AC7D3D24D49}">
  <sheetPr codeName="Sheet10"/>
  <dimension ref="A1:AA14"/>
  <sheetViews>
    <sheetView topLeftCell="F1" workbookViewId="0">
      <selection activeCell="I6" sqref="I6"/>
    </sheetView>
  </sheetViews>
  <sheetFormatPr baseColWidth="10" defaultRowHeight="18" x14ac:dyDescent="0.2"/>
  <cols>
    <col min="1" max="2" width="16" style="8" customWidth="1"/>
    <col min="3" max="3" width="20.6640625" style="1" customWidth="1"/>
    <col min="4" max="4" width="25.1640625" style="1" customWidth="1"/>
    <col min="5" max="5" width="10.83203125" style="1"/>
    <col min="6" max="6" width="22.6640625" style="18" customWidth="1"/>
    <col min="7" max="7" width="21.83203125" style="18" bestFit="1" customWidth="1"/>
    <col min="8" max="8" width="13.1640625" style="19" customWidth="1"/>
    <col min="9" max="9" width="11.1640625" style="18" bestFit="1" customWidth="1"/>
    <col min="10" max="10" width="10.83203125" style="1"/>
    <col min="11" max="12" width="28" style="1" bestFit="1" customWidth="1"/>
    <col min="13" max="16384" width="10.83203125" style="1"/>
  </cols>
  <sheetData>
    <row r="1" spans="1:27" ht="46" customHeight="1" x14ac:dyDescent="0.2">
      <c r="A1" s="27" t="s">
        <v>3</v>
      </c>
      <c r="B1" s="27"/>
      <c r="D1" s="27" t="s">
        <v>1</v>
      </c>
      <c r="E1" s="27"/>
      <c r="F1" s="27"/>
      <c r="G1" s="27"/>
      <c r="H1" s="27"/>
      <c r="I1" s="27"/>
      <c r="AA1" s="1" t="s">
        <v>9</v>
      </c>
    </row>
    <row r="2" spans="1:27" ht="19" thickBot="1" x14ac:dyDescent="0.25">
      <c r="A2" s="21" t="s">
        <v>20</v>
      </c>
      <c r="D2" s="2" t="s">
        <v>16</v>
      </c>
      <c r="F2" s="1"/>
      <c r="G2" s="1"/>
      <c r="H2" s="1"/>
      <c r="I2" s="1"/>
      <c r="AA2" s="1" t="s">
        <v>7</v>
      </c>
    </row>
    <row r="3" spans="1:27" ht="19" thickBot="1" x14ac:dyDescent="0.25">
      <c r="C3" s="3"/>
      <c r="D3" s="4" t="s">
        <v>11</v>
      </c>
      <c r="F3" s="1"/>
      <c r="G3" s="1"/>
      <c r="H3" s="1"/>
      <c r="I3" s="1"/>
      <c r="AA3" s="1" t="s">
        <v>14</v>
      </c>
    </row>
    <row r="4" spans="1:27" x14ac:dyDescent="0.2">
      <c r="A4" s="9" t="s">
        <v>18</v>
      </c>
      <c r="B4" s="9" t="s">
        <v>19</v>
      </c>
      <c r="E4" s="6"/>
      <c r="F4" s="7" t="s">
        <v>5</v>
      </c>
      <c r="G4" s="7" t="s">
        <v>6</v>
      </c>
      <c r="H4" s="13" t="s">
        <v>13</v>
      </c>
      <c r="I4" s="7" t="s">
        <v>8</v>
      </c>
      <c r="K4" s="7" t="s">
        <v>24</v>
      </c>
      <c r="L4" s="5" t="s">
        <v>22</v>
      </c>
      <c r="AA4" s="1" t="s">
        <v>2</v>
      </c>
    </row>
    <row r="5" spans="1:27" ht="19" x14ac:dyDescent="0.2">
      <c r="A5" s="10"/>
      <c r="B5" s="10"/>
      <c r="E5" s="14" t="s">
        <v>17</v>
      </c>
      <c r="F5" s="15" t="s">
        <v>7</v>
      </c>
      <c r="G5" s="15" t="s">
        <v>15</v>
      </c>
      <c r="H5" s="16">
        <v>5</v>
      </c>
      <c r="I5" s="17">
        <v>44409</v>
      </c>
      <c r="K5" s="11">
        <f>SUM(B5:B14)</f>
        <v>0</v>
      </c>
      <c r="L5" s="12">
        <f>SUM(H6:H1048576)</f>
        <v>0</v>
      </c>
      <c r="AA5" s="1" t="s">
        <v>4</v>
      </c>
    </row>
    <row r="6" spans="1:27" x14ac:dyDescent="0.2">
      <c r="A6" s="10"/>
      <c r="B6" s="10"/>
      <c r="I6" s="20"/>
      <c r="AA6" s="1" t="s">
        <v>10</v>
      </c>
    </row>
    <row r="7" spans="1:27" x14ac:dyDescent="0.2">
      <c r="A7" s="10"/>
      <c r="B7" s="10"/>
      <c r="I7" s="20"/>
      <c r="K7" s="9" t="s">
        <v>5</v>
      </c>
      <c r="L7" s="9" t="s">
        <v>23</v>
      </c>
      <c r="AA7" s="1" t="s">
        <v>11</v>
      </c>
    </row>
    <row r="8" spans="1:27" x14ac:dyDescent="0.2">
      <c r="A8" s="10"/>
      <c r="B8" s="10"/>
      <c r="K8" s="10" t="s">
        <v>7</v>
      </c>
      <c r="L8" s="11">
        <f>SUMIF($F$6:$F$1048576, "*"&amp;K8&amp;"*", $H$6:$H$1048576)</f>
        <v>0</v>
      </c>
      <c r="AA8" s="1" t="s">
        <v>12</v>
      </c>
    </row>
    <row r="9" spans="1:27" x14ac:dyDescent="0.2">
      <c r="A9" s="10"/>
      <c r="B9" s="10"/>
      <c r="K9" s="10" t="s">
        <v>14</v>
      </c>
      <c r="L9" s="11">
        <f t="shared" ref="L9:L14" si="0">SUMIF($F$6:$F$1048576, "*"&amp;K9&amp;"*", $H$6:$H$1048576)</f>
        <v>0</v>
      </c>
    </row>
    <row r="10" spans="1:27" x14ac:dyDescent="0.2">
      <c r="A10" s="10"/>
      <c r="B10" s="10"/>
      <c r="K10" s="10" t="s">
        <v>2</v>
      </c>
      <c r="L10" s="11">
        <f t="shared" si="0"/>
        <v>0</v>
      </c>
    </row>
    <row r="11" spans="1:27" x14ac:dyDescent="0.2">
      <c r="A11" s="10"/>
      <c r="B11" s="10"/>
      <c r="K11" s="10" t="s">
        <v>4</v>
      </c>
      <c r="L11" s="11">
        <f t="shared" si="0"/>
        <v>0</v>
      </c>
    </row>
    <row r="12" spans="1:27" x14ac:dyDescent="0.2">
      <c r="A12" s="10"/>
      <c r="B12" s="10"/>
      <c r="K12" s="10" t="s">
        <v>10</v>
      </c>
      <c r="L12" s="11">
        <f t="shared" si="0"/>
        <v>0</v>
      </c>
    </row>
    <row r="13" spans="1:27" x14ac:dyDescent="0.2">
      <c r="A13" s="10"/>
      <c r="B13" s="10"/>
      <c r="K13" s="10" t="s">
        <v>11</v>
      </c>
      <c r="L13" s="11">
        <f t="shared" si="0"/>
        <v>0</v>
      </c>
    </row>
    <row r="14" spans="1:27" x14ac:dyDescent="0.2">
      <c r="A14" s="10"/>
      <c r="B14" s="10"/>
      <c r="K14" s="10" t="s">
        <v>12</v>
      </c>
      <c r="L14" s="11">
        <f t="shared" si="0"/>
        <v>0</v>
      </c>
    </row>
  </sheetData>
  <mergeCells count="2">
    <mergeCell ref="A1:B1"/>
    <mergeCell ref="D1:I1"/>
  </mergeCells>
  <dataValidations count="2">
    <dataValidation type="list" allowBlank="1" showInputMessage="1" showErrorMessage="1" sqref="D3" xr:uid="{47268E3E-8308-0248-8B6B-2436A3EF5E0C}">
      <formula1>AA2:AA8</formula1>
    </dataValidation>
    <dataValidation type="list" allowBlank="1" showInputMessage="1" showErrorMessage="1" sqref="AA2:AA8" xr:uid="{53071CB2-867E-3245-9B39-C5D85E63DA20}">
      <formula1>$AA$2:$AA$8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ewExpenseInput">
                <anchor>
                  <from>
                    <xdr:col>2</xdr:col>
                    <xdr:colOff>1562100</xdr:colOff>
                    <xdr:row>3</xdr:row>
                    <xdr:rowOff>38100</xdr:rowOff>
                  </from>
                  <to>
                    <xdr:col>3</xdr:col>
                    <xdr:colOff>1905000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046A4-B059-A34B-B874-B889F4267D76}">
  <sheetPr codeName="Sheet11"/>
  <dimension ref="A1:AA14"/>
  <sheetViews>
    <sheetView topLeftCell="F1" workbookViewId="0">
      <selection activeCell="I6" sqref="I6"/>
    </sheetView>
  </sheetViews>
  <sheetFormatPr baseColWidth="10" defaultRowHeight="18" x14ac:dyDescent="0.2"/>
  <cols>
    <col min="1" max="2" width="16" style="8" customWidth="1"/>
    <col min="3" max="3" width="20.6640625" style="1" customWidth="1"/>
    <col min="4" max="4" width="25.1640625" style="1" customWidth="1"/>
    <col min="5" max="5" width="10.83203125" style="1"/>
    <col min="6" max="6" width="22.6640625" style="18" customWidth="1"/>
    <col min="7" max="7" width="21.83203125" style="18" bestFit="1" customWidth="1"/>
    <col min="8" max="8" width="13.1640625" style="19" customWidth="1"/>
    <col min="9" max="9" width="11.1640625" style="18" bestFit="1" customWidth="1"/>
    <col min="10" max="10" width="10.83203125" style="1"/>
    <col min="11" max="12" width="28" style="1" bestFit="1" customWidth="1"/>
    <col min="13" max="16384" width="10.83203125" style="1"/>
  </cols>
  <sheetData>
    <row r="1" spans="1:27" ht="46" customHeight="1" x14ac:dyDescent="0.2">
      <c r="A1" s="27" t="s">
        <v>3</v>
      </c>
      <c r="B1" s="27"/>
      <c r="D1" s="27" t="s">
        <v>1</v>
      </c>
      <c r="E1" s="27"/>
      <c r="F1" s="27"/>
      <c r="G1" s="27"/>
      <c r="H1" s="27"/>
      <c r="I1" s="27"/>
      <c r="AA1" s="1" t="s">
        <v>9</v>
      </c>
    </row>
    <row r="2" spans="1:27" ht="19" thickBot="1" x14ac:dyDescent="0.25">
      <c r="A2" s="21" t="s">
        <v>20</v>
      </c>
      <c r="D2" s="2" t="s">
        <v>16</v>
      </c>
      <c r="F2" s="1"/>
      <c r="G2" s="1"/>
      <c r="H2" s="1"/>
      <c r="I2" s="1"/>
      <c r="AA2" s="1" t="s">
        <v>7</v>
      </c>
    </row>
    <row r="3" spans="1:27" ht="19" thickBot="1" x14ac:dyDescent="0.25">
      <c r="C3" s="3"/>
      <c r="D3" s="4" t="s">
        <v>11</v>
      </c>
      <c r="F3" s="1"/>
      <c r="G3" s="1"/>
      <c r="H3" s="1"/>
      <c r="I3" s="1"/>
      <c r="AA3" s="1" t="s">
        <v>14</v>
      </c>
    </row>
    <row r="4" spans="1:27" x14ac:dyDescent="0.2">
      <c r="A4" s="9" t="s">
        <v>18</v>
      </c>
      <c r="B4" s="9" t="s">
        <v>19</v>
      </c>
      <c r="E4" s="6"/>
      <c r="F4" s="7" t="s">
        <v>5</v>
      </c>
      <c r="G4" s="7" t="s">
        <v>6</v>
      </c>
      <c r="H4" s="13" t="s">
        <v>13</v>
      </c>
      <c r="I4" s="7" t="s">
        <v>8</v>
      </c>
      <c r="K4" s="7" t="s">
        <v>24</v>
      </c>
      <c r="L4" s="5" t="s">
        <v>22</v>
      </c>
      <c r="AA4" s="1" t="s">
        <v>2</v>
      </c>
    </row>
    <row r="5" spans="1:27" ht="19" x14ac:dyDescent="0.2">
      <c r="A5" s="10"/>
      <c r="B5" s="10"/>
      <c r="E5" s="14" t="s">
        <v>17</v>
      </c>
      <c r="F5" s="15" t="s">
        <v>7</v>
      </c>
      <c r="G5" s="15" t="s">
        <v>15</v>
      </c>
      <c r="H5" s="16">
        <v>5</v>
      </c>
      <c r="I5" s="17">
        <v>44440</v>
      </c>
      <c r="K5" s="11">
        <f>SUM(B5:B14)</f>
        <v>0</v>
      </c>
      <c r="L5" s="12">
        <f>SUM(H6:H1048576)</f>
        <v>0</v>
      </c>
      <c r="AA5" s="1" t="s">
        <v>4</v>
      </c>
    </row>
    <row r="6" spans="1:27" x14ac:dyDescent="0.2">
      <c r="A6" s="10"/>
      <c r="B6" s="10"/>
      <c r="I6" s="20"/>
      <c r="AA6" s="1" t="s">
        <v>10</v>
      </c>
    </row>
    <row r="7" spans="1:27" x14ac:dyDescent="0.2">
      <c r="A7" s="10"/>
      <c r="B7" s="10"/>
      <c r="I7" s="20"/>
      <c r="K7" s="9" t="s">
        <v>5</v>
      </c>
      <c r="L7" s="9" t="s">
        <v>23</v>
      </c>
      <c r="AA7" s="1" t="s">
        <v>11</v>
      </c>
    </row>
    <row r="8" spans="1:27" x14ac:dyDescent="0.2">
      <c r="A8" s="10"/>
      <c r="B8" s="10"/>
      <c r="K8" s="10" t="s">
        <v>7</v>
      </c>
      <c r="L8" s="11">
        <f>SUMIF($F$6:$F$1048576, "*"&amp;K8&amp;"*", $H$6:$H$1048576)</f>
        <v>0</v>
      </c>
      <c r="AA8" s="1" t="s">
        <v>12</v>
      </c>
    </row>
    <row r="9" spans="1:27" x14ac:dyDescent="0.2">
      <c r="A9" s="10"/>
      <c r="B9" s="10"/>
      <c r="K9" s="10" t="s">
        <v>14</v>
      </c>
      <c r="L9" s="11">
        <f t="shared" ref="L9:L14" si="0">SUMIF($F$6:$F$1048576, "*"&amp;K9&amp;"*", $H$6:$H$1048576)</f>
        <v>0</v>
      </c>
    </row>
    <row r="10" spans="1:27" x14ac:dyDescent="0.2">
      <c r="A10" s="10"/>
      <c r="B10" s="10"/>
      <c r="K10" s="10" t="s">
        <v>2</v>
      </c>
      <c r="L10" s="11">
        <f t="shared" si="0"/>
        <v>0</v>
      </c>
    </row>
    <row r="11" spans="1:27" x14ac:dyDescent="0.2">
      <c r="A11" s="10"/>
      <c r="B11" s="10"/>
      <c r="K11" s="10" t="s">
        <v>4</v>
      </c>
      <c r="L11" s="11">
        <f t="shared" si="0"/>
        <v>0</v>
      </c>
    </row>
    <row r="12" spans="1:27" x14ac:dyDescent="0.2">
      <c r="A12" s="10"/>
      <c r="B12" s="10"/>
      <c r="K12" s="10" t="s">
        <v>10</v>
      </c>
      <c r="L12" s="11">
        <f t="shared" si="0"/>
        <v>0</v>
      </c>
    </row>
    <row r="13" spans="1:27" x14ac:dyDescent="0.2">
      <c r="A13" s="10"/>
      <c r="B13" s="10"/>
      <c r="K13" s="10" t="s">
        <v>11</v>
      </c>
      <c r="L13" s="11">
        <f t="shared" si="0"/>
        <v>0</v>
      </c>
    </row>
    <row r="14" spans="1:27" x14ac:dyDescent="0.2">
      <c r="A14" s="10"/>
      <c r="B14" s="10"/>
      <c r="K14" s="10" t="s">
        <v>12</v>
      </c>
      <c r="L14" s="11">
        <f t="shared" si="0"/>
        <v>0</v>
      </c>
    </row>
  </sheetData>
  <mergeCells count="2">
    <mergeCell ref="A1:B1"/>
    <mergeCell ref="D1:I1"/>
  </mergeCells>
  <dataValidations count="2">
    <dataValidation type="list" allowBlank="1" showInputMessage="1" showErrorMessage="1" sqref="AA2:AA8" xr:uid="{F4E2C9BF-A1B8-8E40-BA41-CFE69154CC6B}">
      <formula1>$AA$2:$AA$8</formula1>
    </dataValidation>
    <dataValidation type="list" allowBlank="1" showInputMessage="1" showErrorMessage="1" sqref="D3" xr:uid="{DA8DC05F-3393-5B47-BB5B-66A9D5AE093F}">
      <formula1>AA2:AA8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NewExpenseInput">
                <anchor>
                  <from>
                    <xdr:col>2</xdr:col>
                    <xdr:colOff>1562100</xdr:colOff>
                    <xdr:row>3</xdr:row>
                    <xdr:rowOff>38100</xdr:rowOff>
                  </from>
                  <to>
                    <xdr:col>3</xdr:col>
                    <xdr:colOff>1905000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92212-D28B-324D-A644-A50C15618F73}">
  <sheetPr codeName="Sheet12"/>
  <dimension ref="A1:AA14"/>
  <sheetViews>
    <sheetView topLeftCell="E1" workbookViewId="0">
      <selection activeCell="I6" sqref="I6"/>
    </sheetView>
  </sheetViews>
  <sheetFormatPr baseColWidth="10" defaultRowHeight="18" x14ac:dyDescent="0.2"/>
  <cols>
    <col min="1" max="2" width="16" style="8" customWidth="1"/>
    <col min="3" max="3" width="20.6640625" style="1" customWidth="1"/>
    <col min="4" max="4" width="25.1640625" style="1" customWidth="1"/>
    <col min="5" max="5" width="10.83203125" style="1"/>
    <col min="6" max="6" width="22.6640625" style="18" customWidth="1"/>
    <col min="7" max="7" width="21.83203125" style="18" bestFit="1" customWidth="1"/>
    <col min="8" max="8" width="13.1640625" style="19" customWidth="1"/>
    <col min="9" max="9" width="11.1640625" style="18" bestFit="1" customWidth="1"/>
    <col min="10" max="10" width="10.83203125" style="1"/>
    <col min="11" max="12" width="28" style="1" bestFit="1" customWidth="1"/>
    <col min="13" max="16384" width="10.83203125" style="1"/>
  </cols>
  <sheetData>
    <row r="1" spans="1:27" ht="46" customHeight="1" x14ac:dyDescent="0.2">
      <c r="A1" s="27" t="s">
        <v>3</v>
      </c>
      <c r="B1" s="27"/>
      <c r="D1" s="27" t="s">
        <v>1</v>
      </c>
      <c r="E1" s="27"/>
      <c r="F1" s="27"/>
      <c r="G1" s="27"/>
      <c r="H1" s="27"/>
      <c r="I1" s="27"/>
      <c r="AA1" s="1" t="s">
        <v>9</v>
      </c>
    </row>
    <row r="2" spans="1:27" ht="19" thickBot="1" x14ac:dyDescent="0.25">
      <c r="A2" s="21" t="s">
        <v>20</v>
      </c>
      <c r="D2" s="2" t="s">
        <v>16</v>
      </c>
      <c r="F2" s="1"/>
      <c r="G2" s="1"/>
      <c r="H2" s="1"/>
      <c r="I2" s="1"/>
      <c r="AA2" s="1" t="s">
        <v>7</v>
      </c>
    </row>
    <row r="3" spans="1:27" ht="19" thickBot="1" x14ac:dyDescent="0.25">
      <c r="C3" s="3"/>
      <c r="D3" s="4" t="s">
        <v>11</v>
      </c>
      <c r="F3" s="1"/>
      <c r="G3" s="1"/>
      <c r="H3" s="1"/>
      <c r="I3" s="1"/>
      <c r="AA3" s="1" t="s">
        <v>14</v>
      </c>
    </row>
    <row r="4" spans="1:27" x14ac:dyDescent="0.2">
      <c r="A4" s="9" t="s">
        <v>18</v>
      </c>
      <c r="B4" s="9" t="s">
        <v>19</v>
      </c>
      <c r="E4" s="6"/>
      <c r="F4" s="7" t="s">
        <v>5</v>
      </c>
      <c r="G4" s="7" t="s">
        <v>6</v>
      </c>
      <c r="H4" s="13" t="s">
        <v>13</v>
      </c>
      <c r="I4" s="7" t="s">
        <v>8</v>
      </c>
      <c r="K4" s="7" t="s">
        <v>24</v>
      </c>
      <c r="L4" s="5" t="s">
        <v>22</v>
      </c>
      <c r="AA4" s="1" t="s">
        <v>2</v>
      </c>
    </row>
    <row r="5" spans="1:27" ht="19" x14ac:dyDescent="0.2">
      <c r="A5" s="10"/>
      <c r="B5" s="10"/>
      <c r="E5" s="14" t="s">
        <v>17</v>
      </c>
      <c r="F5" s="15" t="s">
        <v>7</v>
      </c>
      <c r="G5" s="15" t="s">
        <v>15</v>
      </c>
      <c r="H5" s="16">
        <v>5</v>
      </c>
      <c r="I5" s="17">
        <v>44470</v>
      </c>
      <c r="K5" s="11">
        <f>SUM(B5:B14)</f>
        <v>0</v>
      </c>
      <c r="L5" s="12">
        <f>SUM(H6:H1048576)</f>
        <v>0</v>
      </c>
      <c r="AA5" s="1" t="s">
        <v>4</v>
      </c>
    </row>
    <row r="6" spans="1:27" x14ac:dyDescent="0.2">
      <c r="A6" s="10"/>
      <c r="B6" s="10"/>
      <c r="I6" s="20"/>
      <c r="AA6" s="1" t="s">
        <v>10</v>
      </c>
    </row>
    <row r="7" spans="1:27" x14ac:dyDescent="0.2">
      <c r="A7" s="10"/>
      <c r="B7" s="10"/>
      <c r="I7" s="20"/>
      <c r="K7" s="9" t="s">
        <v>5</v>
      </c>
      <c r="L7" s="9" t="s">
        <v>23</v>
      </c>
      <c r="AA7" s="1" t="s">
        <v>11</v>
      </c>
    </row>
    <row r="8" spans="1:27" x14ac:dyDescent="0.2">
      <c r="A8" s="10"/>
      <c r="B8" s="10"/>
      <c r="K8" s="10" t="s">
        <v>7</v>
      </c>
      <c r="L8" s="11">
        <f>SUMIF($F$6:$F$1048576, "*"&amp;K8&amp;"*", $H$6:$H$1048576)</f>
        <v>0</v>
      </c>
      <c r="AA8" s="1" t="s">
        <v>12</v>
      </c>
    </row>
    <row r="9" spans="1:27" x14ac:dyDescent="0.2">
      <c r="A9" s="10"/>
      <c r="B9" s="10"/>
      <c r="K9" s="10" t="s">
        <v>14</v>
      </c>
      <c r="L9" s="11">
        <f t="shared" ref="L9:L14" si="0">SUMIF($F$6:$F$1048576, "*"&amp;K9&amp;"*", $H$6:$H$1048576)</f>
        <v>0</v>
      </c>
    </row>
    <row r="10" spans="1:27" x14ac:dyDescent="0.2">
      <c r="A10" s="10"/>
      <c r="B10" s="10"/>
      <c r="K10" s="10" t="s">
        <v>2</v>
      </c>
      <c r="L10" s="11">
        <f t="shared" si="0"/>
        <v>0</v>
      </c>
    </row>
    <row r="11" spans="1:27" x14ac:dyDescent="0.2">
      <c r="A11" s="10"/>
      <c r="B11" s="10"/>
      <c r="K11" s="10" t="s">
        <v>4</v>
      </c>
      <c r="L11" s="11">
        <f t="shared" si="0"/>
        <v>0</v>
      </c>
    </row>
    <row r="12" spans="1:27" x14ac:dyDescent="0.2">
      <c r="A12" s="10"/>
      <c r="B12" s="10"/>
      <c r="K12" s="10" t="s">
        <v>10</v>
      </c>
      <c r="L12" s="11">
        <f t="shared" si="0"/>
        <v>0</v>
      </c>
    </row>
    <row r="13" spans="1:27" x14ac:dyDescent="0.2">
      <c r="A13" s="10"/>
      <c r="B13" s="10"/>
      <c r="K13" s="10" t="s">
        <v>11</v>
      </c>
      <c r="L13" s="11">
        <f t="shared" si="0"/>
        <v>0</v>
      </c>
    </row>
    <row r="14" spans="1:27" x14ac:dyDescent="0.2">
      <c r="A14" s="10"/>
      <c r="B14" s="10"/>
      <c r="K14" s="10" t="s">
        <v>12</v>
      </c>
      <c r="L14" s="11">
        <f t="shared" si="0"/>
        <v>0</v>
      </c>
    </row>
  </sheetData>
  <mergeCells count="2">
    <mergeCell ref="A1:B1"/>
    <mergeCell ref="D1:I1"/>
  </mergeCells>
  <dataValidations count="2">
    <dataValidation type="list" allowBlank="1" showInputMessage="1" showErrorMessage="1" sqref="D3" xr:uid="{5F0C3ECB-7D90-1B49-9AA8-6ED980B49490}">
      <formula1>AA2:AA8</formula1>
    </dataValidation>
    <dataValidation type="list" allowBlank="1" showInputMessage="1" showErrorMessage="1" sqref="AA2:AA8" xr:uid="{96934764-1543-B14E-9AC3-F17D8BA6E7B6}">
      <formula1>$AA$2:$AA$8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NewExpenseInput">
                <anchor>
                  <from>
                    <xdr:col>2</xdr:col>
                    <xdr:colOff>1562100</xdr:colOff>
                    <xdr:row>3</xdr:row>
                    <xdr:rowOff>38100</xdr:rowOff>
                  </from>
                  <to>
                    <xdr:col>3</xdr:col>
                    <xdr:colOff>1905000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930C-2B6C-1345-A956-A5DB99EB28D0}">
  <sheetPr codeName="Sheet13"/>
  <dimension ref="A1:AA14"/>
  <sheetViews>
    <sheetView topLeftCell="D1" workbookViewId="0">
      <selection activeCell="I6" sqref="I6"/>
    </sheetView>
  </sheetViews>
  <sheetFormatPr baseColWidth="10" defaultRowHeight="18" x14ac:dyDescent="0.2"/>
  <cols>
    <col min="1" max="2" width="16" style="8" customWidth="1"/>
    <col min="3" max="3" width="20.6640625" style="1" customWidth="1"/>
    <col min="4" max="4" width="25.1640625" style="1" customWidth="1"/>
    <col min="5" max="5" width="10.83203125" style="1"/>
    <col min="6" max="6" width="22.6640625" style="18" customWidth="1"/>
    <col min="7" max="7" width="21.83203125" style="18" bestFit="1" customWidth="1"/>
    <col min="8" max="8" width="13.1640625" style="19" customWidth="1"/>
    <col min="9" max="9" width="11.1640625" style="18" bestFit="1" customWidth="1"/>
    <col min="10" max="10" width="10.83203125" style="1"/>
    <col min="11" max="12" width="28" style="1" bestFit="1" customWidth="1"/>
    <col min="13" max="16384" width="10.83203125" style="1"/>
  </cols>
  <sheetData>
    <row r="1" spans="1:27" ht="46" customHeight="1" x14ac:dyDescent="0.2">
      <c r="A1" s="27" t="s">
        <v>3</v>
      </c>
      <c r="B1" s="27"/>
      <c r="D1" s="27" t="s">
        <v>1</v>
      </c>
      <c r="E1" s="27"/>
      <c r="F1" s="27"/>
      <c r="G1" s="27"/>
      <c r="H1" s="27"/>
      <c r="I1" s="27"/>
      <c r="AA1" s="1" t="s">
        <v>9</v>
      </c>
    </row>
    <row r="2" spans="1:27" ht="19" thickBot="1" x14ac:dyDescent="0.25">
      <c r="A2" s="21" t="s">
        <v>20</v>
      </c>
      <c r="D2" s="2" t="s">
        <v>16</v>
      </c>
      <c r="F2" s="1"/>
      <c r="G2" s="1"/>
      <c r="H2" s="1"/>
      <c r="I2" s="1"/>
      <c r="AA2" s="1" t="s">
        <v>7</v>
      </c>
    </row>
    <row r="3" spans="1:27" ht="19" thickBot="1" x14ac:dyDescent="0.25">
      <c r="C3" s="3"/>
      <c r="D3" s="4" t="s">
        <v>11</v>
      </c>
      <c r="F3" s="1"/>
      <c r="G3" s="1"/>
      <c r="H3" s="1"/>
      <c r="I3" s="1"/>
      <c r="AA3" s="1" t="s">
        <v>14</v>
      </c>
    </row>
    <row r="4" spans="1:27" x14ac:dyDescent="0.2">
      <c r="A4" s="9" t="s">
        <v>18</v>
      </c>
      <c r="B4" s="9" t="s">
        <v>19</v>
      </c>
      <c r="E4" s="6"/>
      <c r="F4" s="7" t="s">
        <v>5</v>
      </c>
      <c r="G4" s="7" t="s">
        <v>6</v>
      </c>
      <c r="H4" s="13" t="s">
        <v>13</v>
      </c>
      <c r="I4" s="7" t="s">
        <v>8</v>
      </c>
      <c r="K4" s="7" t="s">
        <v>24</v>
      </c>
      <c r="L4" s="5" t="s">
        <v>22</v>
      </c>
      <c r="AA4" s="1" t="s">
        <v>2</v>
      </c>
    </row>
    <row r="5" spans="1:27" ht="19" x14ac:dyDescent="0.2">
      <c r="A5" s="10"/>
      <c r="B5" s="10"/>
      <c r="E5" s="14" t="s">
        <v>17</v>
      </c>
      <c r="F5" s="15" t="s">
        <v>7</v>
      </c>
      <c r="G5" s="15" t="s">
        <v>15</v>
      </c>
      <c r="H5" s="16">
        <v>5</v>
      </c>
      <c r="I5" s="17">
        <v>44501</v>
      </c>
      <c r="K5" s="11">
        <f>SUM(B5:B14)</f>
        <v>0</v>
      </c>
      <c r="L5" s="12">
        <f>SUM(H6:H1048576)</f>
        <v>0</v>
      </c>
      <c r="AA5" s="1" t="s">
        <v>4</v>
      </c>
    </row>
    <row r="6" spans="1:27" x14ac:dyDescent="0.2">
      <c r="A6" s="10"/>
      <c r="B6" s="10"/>
      <c r="I6" s="20"/>
      <c r="AA6" s="1" t="s">
        <v>10</v>
      </c>
    </row>
    <row r="7" spans="1:27" x14ac:dyDescent="0.2">
      <c r="A7" s="10"/>
      <c r="B7" s="10"/>
      <c r="I7" s="20"/>
      <c r="K7" s="9" t="s">
        <v>5</v>
      </c>
      <c r="L7" s="9" t="s">
        <v>23</v>
      </c>
      <c r="AA7" s="1" t="s">
        <v>11</v>
      </c>
    </row>
    <row r="8" spans="1:27" x14ac:dyDescent="0.2">
      <c r="A8" s="10"/>
      <c r="B8" s="10"/>
      <c r="K8" s="10" t="s">
        <v>7</v>
      </c>
      <c r="L8" s="11">
        <f>SUMIF($F$6:$F$1048576, "*"&amp;K8&amp;"*", $H$6:$H$1048576)</f>
        <v>0</v>
      </c>
      <c r="AA8" s="1" t="s">
        <v>12</v>
      </c>
    </row>
    <row r="9" spans="1:27" x14ac:dyDescent="0.2">
      <c r="A9" s="10"/>
      <c r="B9" s="10"/>
      <c r="K9" s="10" t="s">
        <v>14</v>
      </c>
      <c r="L9" s="11">
        <f t="shared" ref="L9:L14" si="0">SUMIF($F$6:$F$1048576, "*"&amp;K9&amp;"*", $H$6:$H$1048576)</f>
        <v>0</v>
      </c>
    </row>
    <row r="10" spans="1:27" x14ac:dyDescent="0.2">
      <c r="A10" s="10"/>
      <c r="B10" s="10"/>
      <c r="K10" s="10" t="s">
        <v>2</v>
      </c>
      <c r="L10" s="11">
        <f t="shared" si="0"/>
        <v>0</v>
      </c>
    </row>
    <row r="11" spans="1:27" x14ac:dyDescent="0.2">
      <c r="A11" s="10"/>
      <c r="B11" s="10"/>
      <c r="K11" s="10" t="s">
        <v>4</v>
      </c>
      <c r="L11" s="11">
        <f t="shared" si="0"/>
        <v>0</v>
      </c>
    </row>
    <row r="12" spans="1:27" x14ac:dyDescent="0.2">
      <c r="A12" s="10"/>
      <c r="B12" s="10"/>
      <c r="K12" s="10" t="s">
        <v>10</v>
      </c>
      <c r="L12" s="11">
        <f t="shared" si="0"/>
        <v>0</v>
      </c>
    </row>
    <row r="13" spans="1:27" x14ac:dyDescent="0.2">
      <c r="A13" s="10"/>
      <c r="B13" s="10"/>
      <c r="K13" s="10" t="s">
        <v>11</v>
      </c>
      <c r="L13" s="11">
        <f t="shared" si="0"/>
        <v>0</v>
      </c>
    </row>
    <row r="14" spans="1:27" x14ac:dyDescent="0.2">
      <c r="A14" s="10"/>
      <c r="B14" s="10"/>
      <c r="K14" s="10" t="s">
        <v>12</v>
      </c>
      <c r="L14" s="11">
        <f t="shared" si="0"/>
        <v>0</v>
      </c>
    </row>
  </sheetData>
  <mergeCells count="2">
    <mergeCell ref="A1:B1"/>
    <mergeCell ref="D1:I1"/>
  </mergeCells>
  <dataValidations count="2">
    <dataValidation type="list" allowBlank="1" showInputMessage="1" showErrorMessage="1" sqref="AA2:AA8" xr:uid="{568A8E36-DF1E-9849-A6B5-2DC653A5BDDE}">
      <formula1>$AA$2:$AA$8</formula1>
    </dataValidation>
    <dataValidation type="list" allowBlank="1" showInputMessage="1" showErrorMessage="1" sqref="D3" xr:uid="{5C8CE826-7762-344E-8DCA-4933720801FD}">
      <formula1>AA2:AA8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NewExpenseInput">
                <anchor>
                  <from>
                    <xdr:col>2</xdr:col>
                    <xdr:colOff>1562100</xdr:colOff>
                    <xdr:row>3</xdr:row>
                    <xdr:rowOff>38100</xdr:rowOff>
                  </from>
                  <to>
                    <xdr:col>3</xdr:col>
                    <xdr:colOff>1905000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77552-3B38-2C43-857D-55812DDC87C3}">
  <sheetPr codeName="Sheet14"/>
  <dimension ref="A1:AA14"/>
  <sheetViews>
    <sheetView topLeftCell="E1" workbookViewId="0">
      <selection activeCell="P21" sqref="P21"/>
    </sheetView>
  </sheetViews>
  <sheetFormatPr baseColWidth="10" defaultRowHeight="18" x14ac:dyDescent="0.2"/>
  <cols>
    <col min="1" max="2" width="16" style="8" customWidth="1"/>
    <col min="3" max="3" width="20.6640625" style="1" customWidth="1"/>
    <col min="4" max="4" width="25.1640625" style="1" customWidth="1"/>
    <col min="5" max="5" width="10.83203125" style="1"/>
    <col min="6" max="6" width="22.6640625" style="18" customWidth="1"/>
    <col min="7" max="7" width="21.83203125" style="18" bestFit="1" customWidth="1"/>
    <col min="8" max="8" width="13.1640625" style="19" customWidth="1"/>
    <col min="9" max="9" width="11.1640625" style="18" bestFit="1" customWidth="1"/>
    <col min="10" max="10" width="10.83203125" style="1"/>
    <col min="11" max="12" width="28" style="1" bestFit="1" customWidth="1"/>
    <col min="13" max="16384" width="10.83203125" style="1"/>
  </cols>
  <sheetData>
    <row r="1" spans="1:27" ht="46" customHeight="1" x14ac:dyDescent="0.2">
      <c r="A1" s="27" t="s">
        <v>3</v>
      </c>
      <c r="B1" s="27"/>
      <c r="D1" s="27" t="s">
        <v>1</v>
      </c>
      <c r="E1" s="27"/>
      <c r="F1" s="27"/>
      <c r="G1" s="27"/>
      <c r="H1" s="27"/>
      <c r="I1" s="27"/>
      <c r="AA1" s="1" t="s">
        <v>9</v>
      </c>
    </row>
    <row r="2" spans="1:27" ht="19" thickBot="1" x14ac:dyDescent="0.25">
      <c r="A2" s="21" t="s">
        <v>20</v>
      </c>
      <c r="D2" s="2" t="s">
        <v>16</v>
      </c>
      <c r="F2" s="1"/>
      <c r="G2" s="1"/>
      <c r="H2" s="1"/>
      <c r="I2" s="1"/>
      <c r="AA2" s="1" t="s">
        <v>7</v>
      </c>
    </row>
    <row r="3" spans="1:27" ht="19" thickBot="1" x14ac:dyDescent="0.25">
      <c r="C3" s="3"/>
      <c r="D3" s="4" t="s">
        <v>11</v>
      </c>
      <c r="F3" s="1"/>
      <c r="G3" s="1"/>
      <c r="H3" s="1"/>
      <c r="I3" s="1"/>
      <c r="AA3" s="1" t="s">
        <v>14</v>
      </c>
    </row>
    <row r="4" spans="1:27" x14ac:dyDescent="0.2">
      <c r="A4" s="9" t="s">
        <v>18</v>
      </c>
      <c r="B4" s="9" t="s">
        <v>19</v>
      </c>
      <c r="E4" s="6"/>
      <c r="F4" s="7" t="s">
        <v>5</v>
      </c>
      <c r="G4" s="7" t="s">
        <v>6</v>
      </c>
      <c r="H4" s="13" t="s">
        <v>13</v>
      </c>
      <c r="I4" s="7" t="s">
        <v>8</v>
      </c>
      <c r="K4" s="7" t="s">
        <v>24</v>
      </c>
      <c r="L4" s="5" t="s">
        <v>22</v>
      </c>
      <c r="AA4" s="1" t="s">
        <v>2</v>
      </c>
    </row>
    <row r="5" spans="1:27" ht="19" x14ac:dyDescent="0.2">
      <c r="A5" s="10"/>
      <c r="B5" s="10"/>
      <c r="E5" s="14" t="s">
        <v>17</v>
      </c>
      <c r="F5" s="15" t="s">
        <v>7</v>
      </c>
      <c r="G5" s="15" t="s">
        <v>15</v>
      </c>
      <c r="H5" s="16">
        <v>5</v>
      </c>
      <c r="I5" s="17">
        <v>44531</v>
      </c>
      <c r="K5" s="11">
        <f>SUM(B5:B14)</f>
        <v>0</v>
      </c>
      <c r="L5" s="12">
        <f>SUM(H6:H1048576)</f>
        <v>0</v>
      </c>
      <c r="AA5" s="1" t="s">
        <v>4</v>
      </c>
    </row>
    <row r="6" spans="1:27" x14ac:dyDescent="0.2">
      <c r="A6" s="10"/>
      <c r="B6" s="10"/>
      <c r="I6" s="20"/>
      <c r="AA6" s="1" t="s">
        <v>10</v>
      </c>
    </row>
    <row r="7" spans="1:27" x14ac:dyDescent="0.2">
      <c r="A7" s="10"/>
      <c r="B7" s="10"/>
      <c r="I7" s="20"/>
      <c r="K7" s="9" t="s">
        <v>5</v>
      </c>
      <c r="L7" s="9" t="s">
        <v>23</v>
      </c>
      <c r="AA7" s="1" t="s">
        <v>11</v>
      </c>
    </row>
    <row r="8" spans="1:27" x14ac:dyDescent="0.2">
      <c r="A8" s="10"/>
      <c r="B8" s="10"/>
      <c r="K8" s="10" t="s">
        <v>7</v>
      </c>
      <c r="L8" s="11">
        <f>SUMIF($F$6:$F$1048576, "*"&amp;K8&amp;"*", $H$6:$H$1048576)</f>
        <v>0</v>
      </c>
      <c r="AA8" s="1" t="s">
        <v>12</v>
      </c>
    </row>
    <row r="9" spans="1:27" x14ac:dyDescent="0.2">
      <c r="A9" s="10"/>
      <c r="B9" s="10"/>
      <c r="K9" s="10" t="s">
        <v>14</v>
      </c>
      <c r="L9" s="11">
        <f t="shared" ref="L9:L14" si="0">SUMIF($F$6:$F$1048576, "*"&amp;K9&amp;"*", $H$6:$H$1048576)</f>
        <v>0</v>
      </c>
    </row>
    <row r="10" spans="1:27" x14ac:dyDescent="0.2">
      <c r="A10" s="10"/>
      <c r="B10" s="10"/>
      <c r="K10" s="10" t="s">
        <v>2</v>
      </c>
      <c r="L10" s="11">
        <f t="shared" si="0"/>
        <v>0</v>
      </c>
    </row>
    <row r="11" spans="1:27" x14ac:dyDescent="0.2">
      <c r="A11" s="10"/>
      <c r="B11" s="10"/>
      <c r="K11" s="10" t="s">
        <v>4</v>
      </c>
      <c r="L11" s="11">
        <f t="shared" si="0"/>
        <v>0</v>
      </c>
    </row>
    <row r="12" spans="1:27" x14ac:dyDescent="0.2">
      <c r="A12" s="10"/>
      <c r="B12" s="10"/>
      <c r="K12" s="10" t="s">
        <v>10</v>
      </c>
      <c r="L12" s="11">
        <f t="shared" si="0"/>
        <v>0</v>
      </c>
    </row>
    <row r="13" spans="1:27" x14ac:dyDescent="0.2">
      <c r="A13" s="10"/>
      <c r="B13" s="10"/>
      <c r="K13" s="10" t="s">
        <v>11</v>
      </c>
      <c r="L13" s="11">
        <f t="shared" si="0"/>
        <v>0</v>
      </c>
    </row>
    <row r="14" spans="1:27" x14ac:dyDescent="0.2">
      <c r="A14" s="10"/>
      <c r="B14" s="10"/>
      <c r="K14" s="10" t="s">
        <v>12</v>
      </c>
      <c r="L14" s="11">
        <f t="shared" si="0"/>
        <v>0</v>
      </c>
    </row>
  </sheetData>
  <mergeCells count="2">
    <mergeCell ref="A1:B1"/>
    <mergeCell ref="D1:I1"/>
  </mergeCells>
  <dataValidations count="2">
    <dataValidation type="list" allowBlank="1" showInputMessage="1" showErrorMessage="1" sqref="D3" xr:uid="{9589BC81-F31A-F641-BD19-A8F9756D3C6A}">
      <formula1>AA2:AA8</formula1>
    </dataValidation>
    <dataValidation type="list" allowBlank="1" showInputMessage="1" showErrorMessage="1" sqref="AA2:AA8" xr:uid="{9FA8A344-6E1D-2249-903F-97989D7AD54C}">
      <formula1>$AA$2:$AA$8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NewExpenseInput">
                <anchor>
                  <from>
                    <xdr:col>2</xdr:col>
                    <xdr:colOff>1562100</xdr:colOff>
                    <xdr:row>3</xdr:row>
                    <xdr:rowOff>38100</xdr:rowOff>
                  </from>
                  <to>
                    <xdr:col>3</xdr:col>
                    <xdr:colOff>1905000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24928-D96A-DD42-BF2D-162D181FC847}">
  <sheetPr codeName="Sheet15"/>
  <dimension ref="A1:O13"/>
  <sheetViews>
    <sheetView workbookViewId="0">
      <selection activeCell="C23" sqref="C23"/>
    </sheetView>
  </sheetViews>
  <sheetFormatPr baseColWidth="10" defaultRowHeight="16" x14ac:dyDescent="0.2"/>
  <cols>
    <col min="1" max="1" width="10.83203125" style="22"/>
    <col min="2" max="2" width="21.5" style="22" bestFit="1" customWidth="1"/>
    <col min="3" max="3" width="30.1640625" style="22" bestFit="1" customWidth="1"/>
    <col min="4" max="16384" width="10.83203125" style="22"/>
  </cols>
  <sheetData>
    <row r="1" spans="1:15" ht="25" x14ac:dyDescent="0.2">
      <c r="A1" s="26" t="s">
        <v>27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</row>
    <row r="3" spans="1:15" ht="18" x14ac:dyDescent="0.2">
      <c r="A3" s="24"/>
      <c r="B3" s="25" t="s">
        <v>28</v>
      </c>
      <c r="C3" s="25" t="s">
        <v>21</v>
      </c>
    </row>
    <row r="4" spans="1:15" ht="18" x14ac:dyDescent="0.2">
      <c r="B4" s="12">
        <f>SUM(January!K5,February!K5,March!K5,April!K5,May!K5,June!K5,July!K5,August!K5,September!K5,October!K5,November!K5,December!K5)</f>
        <v>0</v>
      </c>
      <c r="C4" s="12">
        <f>SUM(January!L5,February!L5,March!L5,April!L5,May!L5,June!L5,July!L5,August!L5,September!L5,October!L5,November!L5,December!L5)</f>
        <v>0</v>
      </c>
    </row>
    <row r="6" spans="1:15" ht="18" x14ac:dyDescent="0.2">
      <c r="B6" s="25" t="s">
        <v>5</v>
      </c>
      <c r="C6" s="25" t="s">
        <v>29</v>
      </c>
    </row>
    <row r="7" spans="1:15" ht="18" x14ac:dyDescent="0.2">
      <c r="B7" s="10" t="s">
        <v>7</v>
      </c>
      <c r="C7" s="12">
        <f>SUM(January!L8,February!L8,March!L8,April!L8,May!L8,June!L8,July!L8,August!L8,September!L8,October!L8,November!L8,December!L8)</f>
        <v>0</v>
      </c>
    </row>
    <row r="8" spans="1:15" ht="18" x14ac:dyDescent="0.2">
      <c r="B8" s="10" t="s">
        <v>14</v>
      </c>
      <c r="C8" s="12">
        <f>SUM(January!L9,February!L9,March!L9,April!L9,May!L9,June!L9,July!L9,August!L9,September!L9,October!L9,November!L9,December!L9)</f>
        <v>0</v>
      </c>
    </row>
    <row r="9" spans="1:15" ht="18" x14ac:dyDescent="0.2">
      <c r="B9" s="10" t="s">
        <v>2</v>
      </c>
      <c r="C9" s="12">
        <f>SUM(January!L10,February!L10,March!L10,April!L10,May!L10,June!L10,July!L10,August!L10,September!L10,October!L10,November!L10,December!L10)</f>
        <v>0</v>
      </c>
    </row>
    <row r="10" spans="1:15" ht="18" x14ac:dyDescent="0.2">
      <c r="B10" s="10" t="s">
        <v>4</v>
      </c>
      <c r="C10" s="12">
        <f>SUM(January!L11,February!L11,March!L11,April!L11,May!L11,June!L11,July!L11,August!L11,September!L11,October!L11,November!L11,December!L11)</f>
        <v>0</v>
      </c>
    </row>
    <row r="11" spans="1:15" ht="18" x14ac:dyDescent="0.2">
      <c r="B11" s="10" t="s">
        <v>10</v>
      </c>
      <c r="C11" s="12">
        <f>SUM(January!L12,February!L12,March!L12,April!L12,May!L12,June!L12,July!L12,August!L12,September!L12,October!L12,November!L12,December!L12)</f>
        <v>0</v>
      </c>
    </row>
    <row r="12" spans="1:15" ht="18" x14ac:dyDescent="0.2">
      <c r="B12" s="10" t="s">
        <v>11</v>
      </c>
      <c r="C12" s="12">
        <f>SUM(January!L13,February!L13,March!L13,April!L13,May!L13,June!L13,July!L13,August!L13,September!L13,October!L13,November!L13,December!L13)</f>
        <v>0</v>
      </c>
    </row>
    <row r="13" spans="1:15" ht="18" x14ac:dyDescent="0.2">
      <c r="B13" s="10" t="s">
        <v>12</v>
      </c>
      <c r="C13" s="12">
        <f>SUM(January!L14,February!L14,March!L14,April!L14,May!L14,June!L14,July!L14,August!L14,September!L14,October!L14,November!L14,December!L14)</f>
        <v>0</v>
      </c>
    </row>
  </sheetData>
  <mergeCells count="1">
    <mergeCell ref="A1:O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Welcome!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Yearly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Christensen, Mick B.</dc:creator>
  <cp:lastModifiedBy>Christensen, Mick B.</cp:lastModifiedBy>
  <dcterms:created xsi:type="dcterms:W3CDTF">2021-07-23T19:05:36Z</dcterms:created>
  <dcterms:modified xsi:type="dcterms:W3CDTF">2021-08-05T18:15:16Z</dcterms:modified>
</cp:coreProperties>
</file>